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gi\Healthcare-Patient-Operations-Analytics\"/>
    </mc:Choice>
  </mc:AlternateContent>
  <xr:revisionPtr revIDLastSave="0" documentId="13_ncr:1_{9912032D-D684-46E6-A871-684B92065727}" xr6:coauthVersionLast="47" xr6:coauthVersionMax="47" xr10:uidLastSave="{00000000-0000-0000-0000-000000000000}"/>
  <bookViews>
    <workbookView xWindow="-120" yWindow="-120" windowWidth="20730" windowHeight="11040" firstSheet="3" activeTab="4" xr2:uid="{36ECFCAE-9F3F-4BCA-AD95-2CBBDC5D2C54}"/>
  </bookViews>
  <sheets>
    <sheet name="Raw_Billings" sheetId="6" r:id="rId1"/>
    <sheet name="KPI_Calculations" sheetId="7" r:id="rId2"/>
    <sheet name="doctor_performance" sheetId="9" r:id="rId3"/>
    <sheet name="monthly_revenue" sheetId="10" r:id="rId4"/>
    <sheet name="Pivot_Tables" sheetId="8" r:id="rId5"/>
    <sheet name="Dashboard" sheetId="11" r:id="rId6"/>
    <sheet name="Raw_Treatments" sheetId="5" r:id="rId7"/>
    <sheet name="Raw_Appointments" sheetId="4" r:id="rId8"/>
    <sheet name="Raw_Doctors" sheetId="3" r:id="rId9"/>
    <sheet name="Raw_Patients" sheetId="2" r:id="rId10"/>
  </sheets>
  <definedNames>
    <definedName name="ExternalData_1" localSheetId="2" hidden="1">doctor_performance!$A$1:$D$11</definedName>
    <definedName name="ExternalData_1" localSheetId="3" hidden="1">monthly_revenue!$A$1:$C$13</definedName>
    <definedName name="ExternalData_1" localSheetId="9" hidden="1">Raw_Patients!$A$1:$M$51</definedName>
    <definedName name="ExternalData_2" localSheetId="8" hidden="1">Raw_Doctors!$A$1:$H$11</definedName>
    <definedName name="ExternalData_3" localSheetId="7" hidden="1">Raw_Appointments!$A$1:$I$201</definedName>
    <definedName name="ExternalData_4" localSheetId="6" hidden="1">Raw_Treatments!$A$1:$F$201</definedName>
    <definedName name="ExternalData_5" localSheetId="0" hidden="1">Raw_Billings!$A$1:$G$201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7" l="1"/>
  <c r="B7" i="7"/>
  <c r="B6" i="7"/>
  <c r="B5" i="7"/>
  <c r="B4" i="7"/>
  <c r="B3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0FCC2-1899-49AB-830B-58B20BF8EEBC}" keepAlive="1" name="Query - appointment_metrics" description="Connection to the 'appointment_metrics' query in the workbook." type="5" refreshedVersion="8" background="1" saveData="1">
    <dbPr connection="Provider=Microsoft.Mashup.OleDb.1;Data Source=$Workbook$;Location=appointment_metrics;Extended Properties=&quot;&quot;" command="SELECT * FROM [appointment_metrics]"/>
  </connection>
  <connection id="2" xr16:uid="{5C3A1BAE-5705-4354-832A-AB5E727AC7F7}" keepAlive="1" name="Query - billing_metrics" description="Connection to the 'billing_metrics' query in the workbook." type="5" refreshedVersion="8" background="1" saveData="1">
    <dbPr connection="Provider=Microsoft.Mashup.OleDb.1;Data Source=$Workbook$;Location=billing_metrics;Extended Properties=&quot;&quot;" command="SELECT * FROM [billing_metrics]"/>
  </connection>
  <connection id="3" xr16:uid="{408166B9-2BA2-4F17-AB7D-F672F4D454E6}" keepAlive="1" name="Query - doctor_metrics" description="Connection to the 'doctor_metrics' query in the workbook." type="5" refreshedVersion="8" background="1" saveData="1">
    <dbPr connection="Provider=Microsoft.Mashup.OleDb.1;Data Source=$Workbook$;Location=doctor_metrics;Extended Properties=&quot;&quot;" command="SELECT * FROM [doctor_metrics]"/>
  </connection>
  <connection id="4" xr16:uid="{5194B075-8F9B-4550-B605-7753A5F31E63}" keepAlive="1" name="Query - doctor_performance" description="Connection to the 'doctor_performance' query in the workbook." type="5" refreshedVersion="8" background="1" saveData="1">
    <dbPr connection="Provider=Microsoft.Mashup.OleDb.1;Data Source=$Workbook$;Location=doctor_performance;Extended Properties=&quot;&quot;" command="SELECT * FROM [doctor_performance]"/>
  </connection>
  <connection id="5" xr16:uid="{37868095-1327-4E4D-923A-C1E116707707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6" xr16:uid="{58DC6233-6FE8-49E1-A26A-932C881ECD3A}" keepAlive="1" name="Query - patient_metrics" description="Connection to the 'patient_metrics' query in the workbook." type="5" refreshedVersion="8" background="1" saveData="1">
    <dbPr connection="Provider=Microsoft.Mashup.OleDb.1;Data Source=$Workbook$;Location=patient_metrics;Extended Properties=&quot;&quot;" command="SELECT * FROM [patient_metrics]"/>
  </connection>
  <connection id="7" xr16:uid="{0F9D66DF-4C26-4A19-9D7E-89AAC9350EE3}" keepAlive="1" name="Query - treatment_metrics" description="Connection to the 'treatment_metrics' query in the workbook." type="5" refreshedVersion="8" background="1" saveData="1">
    <dbPr connection="Provider=Microsoft.Mashup.OleDb.1;Data Source=$Workbook$;Location=treatment_metrics;Extended Properties=&quot;&quot;" command="SELECT * FROM [treatment_metrics]"/>
  </connection>
</connections>
</file>

<file path=xl/sharedStrings.xml><?xml version="1.0" encoding="utf-8"?>
<sst xmlns="http://schemas.openxmlformats.org/spreadsheetml/2006/main" count="3643" uniqueCount="901">
  <si>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</si>
  <si>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</si>
  <si>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</si>
  <si>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</si>
  <si>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</si>
  <si>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</si>
  <si>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</si>
  <si>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</si>
  <si>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</si>
  <si>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</si>
  <si>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</si>
  <si>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Age</t>
  </si>
  <si>
    <t>Age_Group</t>
  </si>
  <si>
    <t>P001</t>
  </si>
  <si>
    <t>David</t>
  </si>
  <si>
    <t>Williams</t>
  </si>
  <si>
    <t>Female</t>
  </si>
  <si>
    <t>789 Pine Rd</t>
  </si>
  <si>
    <t>WellnessCorp</t>
  </si>
  <si>
    <t>INS840674</t>
  </si>
  <si>
    <t>david.williams@mail.com</t>
  </si>
  <si>
    <t>65+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</si>
  <si>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</si>
  <si>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</si>
  <si>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</si>
  <si>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</si>
  <si>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</si>
  <si>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</si>
  <si>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</si>
  <si>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36-50</t>
  </si>
  <si>
    <t>P003</t>
  </si>
  <si>
    <t>Laura</t>
  </si>
  <si>
    <t>Jones</t>
  </si>
  <si>
    <t>Male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</si>
  <si>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</si>
  <si>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</si>
  <si>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</si>
  <si>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</si>
  <si>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</si>
  <si>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</si>
  <si>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</si>
  <si>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</si>
  <si>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</si>
  <si>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</si>
  <si>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</si>
  <si>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</si>
  <si>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</si>
  <si>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</si>
  <si>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51-65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</si>
  <si>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</si>
  <si>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</si>
  <si>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</si>
  <si>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</si>
  <si>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</si>
  <si>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</si>
  <si>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</si>
  <si>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</si>
  <si>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</si>
  <si>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</si>
  <si>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</si>
  <si>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</si>
  <si>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</si>
  <si>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</si>
  <si>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</si>
  <si>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</si>
  <si>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</si>
  <si>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</si>
  <si>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</si>
  <si>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</si>
  <si>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18-35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</si>
  <si>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</si>
  <si>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</si>
  <si>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</si>
  <si>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</si>
  <si>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</si>
  <si>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</si>
  <si>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</si>
  <si>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</si>
  <si>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</si>
  <si>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</si>
  <si>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</si>
  <si>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</si>
  <si>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</si>
  <si>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</si>
  <si>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</si>
  <si>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</si>
  <si>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</si>
  <si>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</si>
  <si>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</si>
  <si>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</si>
  <si>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</si>
  <si>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</si>
  <si>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</si>
  <si>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</si>
  <si>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</si>
  <si>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</si>
  <si>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</si>
  <si>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</si>
  <si>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</si>
  <si>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</si>
  <si>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</si>
  <si>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</si>
  <si>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</si>
  <si>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</si>
  <si>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</si>
  <si>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</si>
  <si>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</si>
  <si>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</si>
  <si>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</si>
  <si>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</si>
  <si>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</si>
  <si>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</si>
  <si>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</si>
  <si>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</si>
  <si>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</si>
  <si>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</si>
  <si>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</si>
  <si>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</si>
  <si>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</si>
  <si>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</si>
  <si>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</si>
  <si>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</si>
  <si>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</si>
  <si>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</si>
  <si>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</si>
  <si>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</si>
  <si>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</si>
  <si>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</si>
  <si>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</si>
  <si>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</si>
  <si>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</si>
  <si>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</si>
  <si>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</si>
  <si>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</si>
  <si>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</si>
  <si>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</si>
  <si>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</si>
  <si>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</si>
  <si>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</si>
  <si>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</si>
  <si>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</si>
  <si>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</si>
  <si>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</si>
  <si>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</si>
  <si>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</si>
  <si>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</si>
  <si>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</si>
  <si>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</si>
  <si>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</si>
  <si>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</si>
  <si>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</si>
  <si>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</si>
  <si>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</si>
  <si>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</si>
  <si>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</si>
  <si>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</si>
  <si>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</si>
  <si>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</si>
  <si>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</si>
  <si>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</si>
  <si>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</si>
  <si>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</si>
  <si>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</si>
  <si>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</si>
  <si>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</si>
  <si>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</si>
  <si>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</si>
  <si>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</si>
  <si>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</si>
  <si>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</si>
  <si>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</si>
  <si>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</si>
  <si>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</si>
  <si>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</si>
  <si>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</si>
  <si>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</si>
  <si>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</si>
  <si>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</si>
  <si>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</si>
  <si>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</si>
  <si>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</si>
  <si>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</si>
  <si>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</si>
  <si>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</si>
  <si>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</si>
  <si>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</si>
  <si>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Doctor_ID</t>
  </si>
  <si>
    <t>Specialization</t>
  </si>
  <si>
    <t>Phone_Number</t>
  </si>
  <si>
    <t>Years_Experience</t>
  </si>
  <si>
    <t>Hospital_Branch</t>
  </si>
  <si>
    <t>D001</t>
  </si>
  <si>
    <t>Dermatology</t>
  </si>
  <si>
    <t>Westside Clinic</t>
  </si>
  <si>
    <t>dr.david.taylor@hospital.com</t>
  </si>
  <si>
    <t>D002</t>
  </si>
  <si>
    <t>Pediatrics</t>
  </si>
  <si>
    <t>Eastside Clinic</t>
  </si>
  <si>
    <t>dr.jane.davis@hospital.com</t>
  </si>
  <si>
    <t>D003</t>
  </si>
  <si>
    <t>dr.jane.smith@hospital.com</t>
  </si>
  <si>
    <t>D004</t>
  </si>
  <si>
    <t>Central Hospital</t>
  </si>
  <si>
    <t>dr.david.jones@hospital.com</t>
  </si>
  <si>
    <t>D005</t>
  </si>
  <si>
    <t>dr.sarah.taylor@hospital.com</t>
  </si>
  <si>
    <t>D006</t>
  </si>
  <si>
    <t>dr.alex.davis@hospital.com</t>
  </si>
  <si>
    <t>D007</t>
  </si>
  <si>
    <t>Oncology</t>
  </si>
  <si>
    <t>dr.robert.davis@hospital.com</t>
  </si>
  <si>
    <t>D008</t>
  </si>
  <si>
    <t>dr.linda.brown@hospital.com</t>
  </si>
  <si>
    <t>D009</t>
  </si>
  <si>
    <t>dr.sarah.smith@hospital.com</t>
  </si>
  <si>
    <t>D010</t>
  </si>
  <si>
    <t>dr.linda.wilson@hospital.com</t>
  </si>
  <si>
    <t>Appointment_ID</t>
  </si>
  <si>
    <t>Appointment_Date</t>
  </si>
  <si>
    <t>Appointment_Time</t>
  </si>
  <si>
    <t>Reason_For_Visit</t>
  </si>
  <si>
    <t>Status</t>
  </si>
  <si>
    <t>Appointment_Year</t>
  </si>
  <si>
    <t>Appointment_Month</t>
  </si>
  <si>
    <t>A001</t>
  </si>
  <si>
    <t>Therapy</t>
  </si>
  <si>
    <t>Scheduled</t>
  </si>
  <si>
    <t>August</t>
  </si>
  <si>
    <t>A002</t>
  </si>
  <si>
    <t>No-show</t>
  </si>
  <si>
    <t>June</t>
  </si>
  <si>
    <t>A003</t>
  </si>
  <si>
    <t>Consultation</t>
  </si>
  <si>
    <t>Cancelled</t>
  </si>
  <si>
    <t>A004</t>
  </si>
  <si>
    <t>September</t>
  </si>
  <si>
    <t>A005</t>
  </si>
  <si>
    <t>Emergency</t>
  </si>
  <si>
    <t>July</t>
  </si>
  <si>
    <t>A006</t>
  </si>
  <si>
    <t>Checkup</t>
  </si>
  <si>
    <t>A007</t>
  </si>
  <si>
    <t>April</t>
  </si>
  <si>
    <t>A008</t>
  </si>
  <si>
    <t>May</t>
  </si>
  <si>
    <t>A009</t>
  </si>
  <si>
    <t>Follow-up</t>
  </si>
  <si>
    <t>March</t>
  </si>
  <si>
    <t>A010</t>
  </si>
  <si>
    <t>Completed</t>
  </si>
  <si>
    <t>January</t>
  </si>
  <si>
    <t>A011</t>
  </si>
  <si>
    <t>November</t>
  </si>
  <si>
    <t>A012</t>
  </si>
  <si>
    <t>A013</t>
  </si>
  <si>
    <t>A014</t>
  </si>
  <si>
    <t>A015</t>
  </si>
  <si>
    <t>A016</t>
  </si>
  <si>
    <t>A017</t>
  </si>
  <si>
    <t>A018</t>
  </si>
  <si>
    <t>A019</t>
  </si>
  <si>
    <t>February</t>
  </si>
  <si>
    <t>A020</t>
  </si>
  <si>
    <t>December</t>
  </si>
  <si>
    <t>A021</t>
  </si>
  <si>
    <t>A022</t>
  </si>
  <si>
    <t>A023</t>
  </si>
  <si>
    <t>A024</t>
  </si>
  <si>
    <t>A025</t>
  </si>
  <si>
    <t>A026</t>
  </si>
  <si>
    <t>A027</t>
  </si>
  <si>
    <t>A028</t>
  </si>
  <si>
    <t>October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</si>
  <si>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</si>
  <si>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</si>
  <si>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</si>
  <si>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</si>
  <si>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</si>
  <si>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</si>
  <si>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</si>
  <si>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</si>
  <si>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</si>
  <si>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</si>
  <si>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</si>
  <si>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</si>
  <si>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</si>
  <si>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</si>
  <si>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</si>
  <si>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</si>
  <si>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</si>
  <si>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</si>
  <si>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</si>
  <si>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</si>
  <si>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</si>
  <si>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</si>
  <si>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</si>
  <si>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</si>
  <si>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</si>
  <si>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</si>
  <si>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</si>
  <si>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</si>
  <si>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</si>
  <si>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</si>
  <si>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</si>
  <si>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</si>
  <si>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</si>
  <si>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</si>
  <si>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</si>
  <si>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</si>
  <si>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</si>
  <si>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</si>
  <si>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</si>
  <si>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</si>
  <si>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</si>
  <si>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</si>
  <si>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</si>
  <si>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</si>
  <si>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</si>
  <si>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</si>
  <si>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</si>
  <si>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</si>
  <si>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</si>
  <si>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</si>
  <si>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</si>
  <si>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</si>
  <si>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</si>
  <si>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</si>
  <si>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</si>
  <si>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</si>
  <si>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</si>
  <si>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</si>
  <si>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</si>
  <si>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</si>
  <si>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</si>
  <si>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</si>
  <si>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</si>
  <si>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</si>
  <si>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</si>
  <si>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</si>
  <si>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</si>
  <si>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</si>
  <si>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</si>
  <si>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</si>
  <si>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</si>
  <si>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</si>
  <si>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</si>
  <si>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</si>
  <si>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</si>
  <si>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</si>
  <si>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</si>
  <si>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</si>
  <si>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</si>
  <si>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</si>
  <si>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</si>
  <si>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</si>
  <si>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</si>
  <si>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</si>
  <si>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</si>
  <si>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</si>
  <si>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</si>
  <si>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</si>
  <si>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</si>
  <si>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</si>
  <si>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</si>
  <si>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</si>
  <si>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</si>
  <si>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</si>
  <si>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</si>
  <si>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</si>
  <si>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</si>
  <si>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</si>
  <si>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</si>
  <si>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</si>
  <si>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</si>
  <si>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</si>
  <si>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</si>
  <si>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</si>
  <si>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</si>
  <si>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</si>
  <si>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</si>
  <si>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</si>
  <si>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</si>
  <si>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</si>
  <si>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</si>
  <si>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</si>
  <si>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</si>
  <si>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</si>
  <si>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</si>
  <si>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</si>
  <si>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</si>
  <si>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</si>
  <si>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</si>
  <si>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</si>
  <si>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</si>
  <si>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</si>
  <si>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</si>
  <si>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</si>
  <si>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</si>
  <si>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</si>
  <si>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</si>
  <si>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</si>
  <si>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</si>
  <si>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</si>
  <si>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</si>
  <si>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</si>
  <si>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</si>
  <si>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</si>
  <si>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</si>
  <si>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</si>
  <si>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</si>
  <si>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</si>
  <si>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</si>
  <si>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</si>
  <si>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</si>
  <si>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</si>
  <si>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</si>
  <si>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</si>
  <si>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</si>
  <si>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</si>
  <si>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</si>
  <si>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</si>
  <si>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</si>
  <si>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</si>
  <si>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</si>
  <si>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</si>
  <si>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</si>
  <si>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</si>
  <si>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</si>
  <si>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</si>
  <si>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</si>
  <si>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</si>
  <si>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</si>
  <si>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</si>
  <si>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</si>
  <si>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</si>
  <si>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</si>
  <si>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</si>
  <si>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</si>
  <si>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</si>
  <si>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</si>
  <si>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</si>
  <si>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</si>
  <si>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</si>
  <si>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</si>
  <si>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</si>
  <si>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</si>
  <si>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</si>
  <si>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</si>
  <si>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</si>
  <si>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</si>
  <si>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</si>
  <si>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</si>
  <si>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</si>
  <si>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</si>
  <si>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</si>
  <si>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</si>
  <si>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</si>
  <si>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</si>
  <si>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</si>
  <si>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</si>
  <si>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</si>
  <si>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</si>
  <si>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</si>
  <si>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</si>
  <si>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</si>
  <si>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</si>
  <si>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</si>
  <si>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</si>
  <si>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</si>
  <si>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</si>
  <si>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</si>
  <si>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</si>
  <si>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</si>
  <si>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</si>
  <si>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</si>
  <si>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</si>
  <si>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</si>
  <si>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</si>
  <si>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</si>
  <si>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</si>
  <si>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</si>
  <si>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</si>
  <si>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</si>
  <si>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</si>
  <si>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</si>
  <si>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</si>
  <si>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</si>
  <si>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</si>
  <si>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</si>
  <si>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</si>
  <si>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</si>
  <si>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</si>
  <si>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</si>
  <si>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</si>
  <si>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</si>
  <si>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</si>
  <si>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</si>
  <si>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</si>
  <si>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</si>
  <si>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</si>
  <si>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</si>
  <si>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</si>
  <si>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</si>
  <si>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</si>
  <si>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</si>
  <si>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</si>
  <si>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</si>
  <si>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</si>
  <si>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</si>
  <si>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</si>
  <si>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</si>
  <si>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</si>
  <si>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</si>
  <si>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</si>
  <si>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</si>
  <si>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</si>
  <si>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</si>
  <si>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</si>
  <si>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</si>
  <si>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</si>
  <si>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</si>
  <si>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</si>
  <si>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</si>
  <si>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</si>
  <si>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</si>
  <si>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</si>
  <si>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</si>
  <si>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</si>
  <si>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</si>
  <si>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</si>
  <si>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</si>
  <si>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</si>
  <si>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</si>
  <si>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</si>
  <si>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</si>
  <si>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</si>
  <si>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</si>
  <si>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</si>
  <si>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</si>
  <si>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</si>
  <si>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</si>
  <si>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</si>
  <si>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</si>
  <si>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</si>
  <si>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</si>
  <si>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</si>
  <si>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</si>
  <si>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</si>
  <si>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</si>
  <si>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</si>
  <si>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</si>
  <si>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</si>
  <si>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</si>
  <si>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</si>
  <si>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</si>
  <si>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</si>
  <si>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</si>
  <si>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</si>
  <si>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</si>
  <si>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</si>
  <si>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</si>
  <si>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</si>
  <si>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</si>
  <si>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</si>
  <si>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</si>
  <si>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</si>
  <si>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</si>
  <si>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</si>
  <si>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</si>
  <si>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</si>
  <si>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</si>
  <si>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</si>
  <si>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</si>
  <si>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</si>
  <si>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</si>
  <si>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</si>
  <si>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</si>
  <si>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</si>
  <si>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</si>
  <si>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</si>
  <si>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</si>
  <si>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</si>
  <si>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</si>
  <si>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</si>
  <si>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</si>
  <si>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</si>
  <si>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</si>
  <si>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</si>
  <si>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</si>
  <si>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</si>
  <si>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</si>
  <si>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</si>
  <si>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</si>
  <si>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</si>
  <si>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</si>
  <si>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</si>
  <si>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</si>
  <si>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</si>
  <si>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</si>
  <si>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</si>
  <si>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</si>
  <si>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</si>
  <si>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</si>
  <si>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</si>
  <si>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</si>
  <si>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</si>
  <si>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</si>
  <si>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</si>
  <si>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</si>
  <si>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</si>
  <si>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</si>
  <si>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</si>
  <si>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</si>
  <si>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</si>
  <si>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</si>
  <si>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</si>
  <si>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</si>
  <si>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</si>
  <si>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</si>
  <si>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</si>
  <si>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</si>
  <si>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</si>
  <si>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</si>
  <si>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</si>
  <si>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</si>
  <si>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</si>
  <si>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</si>
  <si>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</si>
  <si>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</si>
  <si>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</si>
  <si>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</si>
  <si>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</si>
  <si>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</si>
  <si>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</si>
  <si>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</si>
  <si>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</si>
  <si>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</si>
  <si>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</si>
  <si>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</si>
  <si>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</si>
  <si>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</si>
  <si>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</si>
  <si>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</si>
  <si>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</si>
  <si>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</si>
  <si>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</si>
  <si>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</si>
  <si>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</si>
  <si>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</si>
  <si>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</si>
  <si>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</si>
  <si>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</si>
  <si>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</si>
  <si>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</si>
  <si>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</si>
  <si>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</si>
  <si>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</si>
  <si>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</si>
  <si>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</si>
  <si>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</si>
  <si>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</si>
  <si>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</si>
  <si>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</si>
  <si>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</si>
  <si>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</si>
  <si>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</si>
  <si>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</si>
  <si>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</si>
  <si>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</si>
  <si>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</si>
  <si>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</si>
  <si>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</si>
  <si>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</si>
  <si>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</si>
  <si>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</si>
  <si>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</si>
  <si>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</si>
  <si>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</si>
  <si>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</si>
  <si>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</si>
  <si>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</si>
  <si>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</si>
  <si>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</si>
  <si>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</si>
  <si>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</si>
  <si>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</si>
  <si>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</si>
  <si>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</si>
  <si>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</si>
  <si>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</si>
  <si>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</si>
  <si>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</si>
  <si>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</si>
  <si>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</si>
  <si>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</si>
  <si>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</si>
  <si>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</si>
  <si>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</si>
  <si>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</si>
  <si>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</si>
  <si>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</si>
  <si>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</si>
  <si>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</si>
  <si>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</si>
  <si>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</si>
  <si>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</si>
  <si>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</si>
  <si>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</si>
  <si>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</si>
  <si>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</si>
  <si>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</si>
  <si>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</si>
  <si>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</si>
  <si>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</si>
  <si>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</si>
  <si>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</si>
  <si>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</si>
  <si>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</si>
  <si>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</si>
  <si>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</si>
  <si>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</si>
  <si>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</si>
  <si>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</si>
  <si>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</si>
  <si>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</si>
  <si>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</si>
  <si>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</si>
  <si>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</si>
  <si>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</si>
  <si>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</si>
  <si>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</si>
  <si>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</si>
  <si>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</si>
  <si>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</si>
  <si>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</si>
  <si>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</si>
  <si>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</si>
  <si>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</si>
  <si>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</si>
  <si>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</si>
  <si>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</si>
  <si>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</si>
  <si>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</si>
  <si>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</si>
  <si>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</si>
  <si>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</si>
  <si>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</si>
  <si>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</si>
  <si>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</si>
  <si>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</si>
  <si>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</si>
  <si>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</si>
  <si>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</si>
  <si>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</si>
  <si>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</si>
  <si>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</si>
  <si>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</si>
  <si>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</si>
  <si>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</si>
  <si>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</si>
  <si>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</si>
  <si>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</si>
  <si>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</si>
  <si>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</si>
  <si>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</si>
  <si>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</si>
  <si>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</si>
  <si>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</si>
  <si>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</si>
  <si>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</si>
  <si>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</si>
  <si>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</si>
  <si>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</si>
  <si>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</si>
  <si>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</si>
  <si>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</si>
  <si>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</si>
  <si>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</si>
  <si>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</si>
  <si>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</si>
  <si>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</si>
  <si>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</si>
  <si>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</si>
  <si>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</si>
  <si>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</si>
  <si>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</si>
  <si>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</si>
  <si>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</si>
  <si>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</si>
  <si>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</si>
  <si>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</si>
  <si>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</si>
  <si>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</si>
  <si>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</si>
  <si>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</si>
  <si>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</si>
  <si>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</si>
  <si>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</si>
  <si>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</si>
  <si>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</si>
  <si>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</si>
  <si>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</si>
  <si>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</si>
  <si>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</si>
  <si>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</si>
  <si>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</si>
  <si>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</si>
  <si>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</si>
  <si>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</si>
  <si>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</si>
  <si>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</si>
  <si>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</si>
  <si>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</si>
  <si>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</si>
  <si>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</si>
  <si>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</si>
  <si>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</si>
  <si>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</si>
  <si>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</si>
  <si>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</si>
  <si>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</si>
  <si>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</si>
  <si>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</si>
  <si>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</si>
  <si>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</si>
  <si>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</si>
  <si>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</si>
  <si>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</si>
  <si>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</si>
  <si>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</si>
  <si>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</si>
  <si>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</si>
  <si>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</si>
  <si>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</si>
  <si>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</si>
  <si>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</si>
  <si>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</si>
  <si>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</si>
  <si>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</si>
  <si>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</si>
  <si>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</si>
  <si>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</si>
  <si>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</si>
  <si>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</si>
  <si>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</si>
  <si>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</si>
  <si>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</si>
  <si>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</si>
  <si>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</si>
  <si>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</si>
  <si>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</si>
  <si>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</si>
  <si>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</si>
  <si>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</si>
  <si>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</si>
  <si>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</si>
  <si>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</si>
  <si>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</si>
  <si>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</si>
  <si>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</si>
  <si>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</si>
  <si>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</si>
  <si>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</si>
  <si>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</si>
  <si>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</si>
  <si>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</si>
  <si>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</si>
  <si>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</si>
  <si>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</si>
  <si>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KPI</t>
  </si>
  <si>
    <t>Total Patients</t>
  </si>
  <si>
    <t>Total Doctors</t>
  </si>
  <si>
    <t>Total Appointments</t>
  </si>
  <si>
    <t>Total Revenue</t>
  </si>
  <si>
    <t>Avg Treatment Cost</t>
  </si>
  <si>
    <t>Completion Rate</t>
  </si>
  <si>
    <t>No Show Rate</t>
  </si>
  <si>
    <t>Value</t>
  </si>
  <si>
    <t>Row Labels</t>
  </si>
  <si>
    <t>Grand Total</t>
  </si>
  <si>
    <t>Count of Appointment_ID</t>
  </si>
  <si>
    <t>Sum of Cost</t>
  </si>
  <si>
    <t>Doctor_Name</t>
  </si>
  <si>
    <t>Appointment_Count</t>
  </si>
  <si>
    <t>Sarah Taylor</t>
  </si>
  <si>
    <t>David Taylor</t>
  </si>
  <si>
    <t>Alex Davis</t>
  </si>
  <si>
    <t>Jane Smith</t>
  </si>
  <si>
    <t>Jane Davis</t>
  </si>
  <si>
    <t>Linda Wilson</t>
  </si>
  <si>
    <t>Sarah Smith</t>
  </si>
  <si>
    <t>Linda Brown</t>
  </si>
  <si>
    <t>David Jones</t>
  </si>
  <si>
    <t>Robert Davis</t>
  </si>
  <si>
    <t>Sum of Appointment_Count</t>
  </si>
  <si>
    <t>Count of Patient_ID</t>
  </si>
  <si>
    <t>Sum of Amount</t>
  </si>
  <si>
    <t>Bill_Year</t>
  </si>
  <si>
    <t>Bill_Month</t>
  </si>
  <si>
    <t>Monthly_Revenue</t>
  </si>
  <si>
    <t>Sum of 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</si>
</sst>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Appointment</a:t>
            </a:r>
            <a:r>
              <a:rPr lang="en-US" b="1" baseline="0"/>
              <a:t> Status Distribution</a:t>
            </a:r>
          </a:p>
          <a:p>
            <a:pPr algn="ctr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2-4898-85C1-5D8A103F4E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2-4898-85C1-5D8A103F4E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2-4898-85C1-5D8A103F4E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2-4898-85C1-5D8A103F4ED6}"/>
              </c:ext>
            </c:extLst>
          </c:dPt>
          <c:cat>
            <c:strRef>
              <c:f>Pivot_Tables!$A$2:$A$6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  <c:pt idx="3">
                  <c:v>Scheduled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51</c:v>
                </c:pt>
                <c:pt idx="1">
                  <c:v>46</c:v>
                </c:pt>
                <c:pt idx="2">
                  <c:v>52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D-4EDD-BA6B-4E5EFA8C2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Treatment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Pivot_Tables!$F$2:$F$7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Pivot_Tables!$G$2:$G$7</c:f>
              <c:numCache>
                <c:formatCode>General</c:formatCode>
                <c:ptCount val="5"/>
                <c:pt idx="0">
                  <c:v>128855.67999999999</c:v>
                </c:pt>
                <c:pt idx="1">
                  <c:v>96224.24</c:v>
                </c:pt>
                <c:pt idx="2">
                  <c:v>116098.15999999999</c:v>
                </c:pt>
                <c:pt idx="3">
                  <c:v>99418.1</c:v>
                </c:pt>
                <c:pt idx="4">
                  <c:v>110653.67000000001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2-4BC8-830F-892CF2D64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5770896"/>
        <c:axId val="1825778096"/>
      </c:barChart>
      <c:catAx>
        <c:axId val="182577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778096"/>
        <c:crosses val="autoZero"/>
        <c:auto val="1"/>
        <c:lblAlgn val="ctr"/>
        <c:lblOffset val="100"/>
        <c:noMultiLvlLbl val="0"/>
      </c:catAx>
      <c:valAx>
        <c:axId val="18257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77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Doctors by Appointment Volume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Pivot_Tables!$L$2:$L$12</c:f>
              <c:strCache>
                <c:ptCount val="10"/>
                <c:pt idx="0">
                  <c:v>Alex Davis</c:v>
                </c:pt>
                <c:pt idx="1">
                  <c:v>David Jones</c:v>
                </c:pt>
                <c:pt idx="2">
                  <c:v>David Taylor</c:v>
                </c:pt>
                <c:pt idx="3">
                  <c:v>Jane Davis</c:v>
                </c:pt>
                <c:pt idx="4">
                  <c:v>Jane Smith</c:v>
                </c:pt>
                <c:pt idx="5">
                  <c:v>Linda Brown</c:v>
                </c:pt>
                <c:pt idx="6">
                  <c:v>Linda Wilson</c:v>
                </c:pt>
                <c:pt idx="7">
                  <c:v>Robert Davis</c:v>
                </c:pt>
                <c:pt idx="8">
                  <c:v>Sarah Smith</c:v>
                </c:pt>
                <c:pt idx="9">
                  <c:v>Sarah Taylor</c:v>
                </c:pt>
              </c:strCache>
            </c:strRef>
          </c:cat>
          <c:val>
            <c:numRef>
              <c:f>Pivot_Tables!$M$2:$M$12</c:f>
              <c:numCache>
                <c:formatCode>General</c:formatCode>
                <c:ptCount val="10"/>
                <c:pt idx="0">
                  <c:v>24</c:v>
                </c:pt>
                <c:pt idx="1">
                  <c:v>14</c:v>
                </c:pt>
                <c:pt idx="2">
                  <c:v>25</c:v>
                </c:pt>
                <c:pt idx="3">
                  <c:v>21</c:v>
                </c:pt>
                <c:pt idx="4">
                  <c:v>22</c:v>
                </c:pt>
                <c:pt idx="5">
                  <c:v>16</c:v>
                </c:pt>
                <c:pt idx="6">
                  <c:v>19</c:v>
                </c:pt>
                <c:pt idx="7">
                  <c:v>13</c:v>
                </c:pt>
                <c:pt idx="8">
                  <c:v>17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A-4164-BF19-4F9A784F2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3423872"/>
        <c:axId val="1223424352"/>
      </c:barChart>
      <c:catAx>
        <c:axId val="122342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24352"/>
        <c:crosses val="autoZero"/>
        <c:auto val="1"/>
        <c:lblAlgn val="ctr"/>
        <c:lblOffset val="100"/>
        <c:noMultiLvlLbl val="0"/>
      </c:catAx>
      <c:valAx>
        <c:axId val="122342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2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Patient</a:t>
            </a:r>
            <a:r>
              <a:rPr lang="en-US" b="1" baseline="0"/>
              <a:t> Age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Pivot_Tables!$A$31:$A$35</c:f>
              <c:strCache>
                <c:ptCount val="4"/>
                <c:pt idx="0">
                  <c:v>18-35</c:v>
                </c:pt>
                <c:pt idx="1">
                  <c:v>36-50</c:v>
                </c:pt>
                <c:pt idx="2">
                  <c:v>51-65</c:v>
                </c:pt>
                <c:pt idx="3">
                  <c:v>65+</c:v>
                </c:pt>
              </c:strCache>
            </c:strRef>
          </c:cat>
          <c:val>
            <c:numRef>
              <c:f>Pivot_Tables!$B$31:$B$35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8-4257-9807-E001F21CA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822688"/>
        <c:axId val="1890819808"/>
      </c:barChart>
      <c:catAx>
        <c:axId val="18908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19808"/>
        <c:crosses val="autoZero"/>
        <c:auto val="1"/>
        <c:lblAlgn val="ctr"/>
        <c:lblOffset val="100"/>
        <c:noMultiLvlLbl val="0"/>
      </c:catAx>
      <c:valAx>
        <c:axId val="18908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2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Pivot_Tables!$H$30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A7-4651-BEDA-C45D7846D2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7-4651-BEDA-C45D7846D2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A7-4651-BEDA-C45D7846D299}"/>
              </c:ext>
            </c:extLst>
          </c:dPt>
          <c:cat>
            <c:strRef>
              <c:f>Pivot_Tables!$G$31:$G$34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Pivot_Tables!$H$31:$H$34</c:f>
              <c:numCache>
                <c:formatCode>General</c:formatCode>
                <c:ptCount val="3"/>
                <c:pt idx="0">
                  <c:v>167707.13999999998</c:v>
                </c:pt>
                <c:pt idx="1">
                  <c:v>201382.43000000005</c:v>
                </c:pt>
                <c:pt idx="2">
                  <c:v>182160.27999999997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5-48E4-A98F-22478976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[Healthcare_Operations_Dashboard.xlsx]Pivot_Tables!PivotTable6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Pivot_Tables!$U$10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Pivot_Tables!$T$11:$T$23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Pivot_Tables!$U$11:$U$23</c:f>
              <c:numCache>
                <c:formatCode>General</c:formatCode>
                <c:ptCount val="12"/>
                <c:pt idx="0">
                  <c:v>58701.23</c:v>
                </c:pt>
                <c:pt idx="1">
                  <c:v>36669.69</c:v>
                </c:pt>
                <c:pt idx="2">
                  <c:v>47304.29</c:v>
                </c:pt>
                <c:pt idx="3">
                  <c:v>64271.54</c:v>
                </c:pt>
                <c:pt idx="4">
                  <c:v>48791.05</c:v>
                </c:pt>
                <c:pt idx="5">
                  <c:v>56887.82</c:v>
                </c:pt>
                <c:pt idx="6">
                  <c:v>39880.19</c:v>
                </c:pt>
                <c:pt idx="7">
                  <c:v>41958.67</c:v>
                </c:pt>
                <c:pt idx="8">
                  <c:v>33426.53</c:v>
                </c:pt>
                <c:pt idx="9">
                  <c:v>43314.15</c:v>
                </c:pt>
                <c:pt idx="10">
                  <c:v>52474.98</c:v>
                </c:pt>
                <c:pt idx="11">
                  <c:v>27569.71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2-493B-8779-DC7697F47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552576"/>
        <c:axId val="1946549696"/>
      </c:lineChart>
      <c:catAx>
        <c:axId val="19465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9696"/>
        <c:crosses val="autoZero"/>
        <c:auto val="1"/>
        <c:lblAlgn val="ctr"/>
        <c:lblOffset val="100"/>
        <c:noMultiLvlLbl val="0"/>
      </c:catAx>
      <c:valAx>
        <c:axId val="19465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5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6</xdr:row>
      <xdr:rowOff>185737</xdr:rowOff>
    </xdr:from>
    <xdr:to>
      <xdr:col>3</xdr:col>
      <xdr:colOff>285750</xdr:colOff>
      <xdr:row>21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DC2A3-F54F-FECE-3D27-85DE73F22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7</xdr:row>
      <xdr:rowOff>14287</xdr:rowOff>
    </xdr:from>
    <xdr:to>
      <xdr:col>9</xdr:col>
      <xdr:colOff>438150</xdr:colOff>
      <xdr:row>21</xdr:row>
      <xdr:rowOff>90487</xdr:rowOff>
    </xdr:to>
    <xdr:graphicFrame macro="">
      <xdr:nvGraphicFramePr>
        <xdr:cNvPr id="3" name="Revenue by Treatment Type">
          <a:extLst>
            <a:ext uri="{FF2B5EF4-FFF2-40B4-BE49-F238E27FC236}">
              <a16:creationId xmlns:a16="http://schemas.microsoft.com/office/drawing/2014/main" id="{B8AB4D96-B4B4-CC90-CA07-47B321C44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371475</xdr:colOff>
      <xdr:row>12</xdr:row>
      <xdr:rowOff>80962</xdr:rowOff>
    </xdr:from>
    <xdr:to>
      <xdr:col>15</xdr:col>
      <xdr:colOff>457200</xdr:colOff>
      <xdr:row>26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D34DFD-E490-25C9-DDD6-62A20A5D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90487</xdr:rowOff>
    </xdr:from>
    <xdr:to>
      <xdr:col>5</xdr:col>
      <xdr:colOff>590550</xdr:colOff>
      <xdr:row>49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DFF41-AAF7-B99C-8216-0E8CA2135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895350</xdr:colOff>
      <xdr:row>35</xdr:row>
      <xdr:rowOff>80962</xdr:rowOff>
    </xdr:from>
    <xdr:to>
      <xdr:col>11</xdr:col>
      <xdr:colOff>828675</xdr:colOff>
      <xdr:row>49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76320C-89B0-32D5-3D0F-2C58B84EA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190500</xdr:colOff>
      <xdr:row>23</xdr:row>
      <xdr:rowOff>90487</xdr:rowOff>
    </xdr:from>
    <xdr:to>
      <xdr:col>22</xdr:col>
      <xdr:colOff>419100</xdr:colOff>
      <xdr:row>37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1867D5-08A9-E257-2839-4A0CFE721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981075</xdr:colOff>
      <xdr:row>45</xdr:row>
      <xdr:rowOff>85725</xdr:rowOff>
    </xdr:from>
    <xdr:to>
      <xdr:col>16</xdr:col>
      <xdr:colOff>457200</xdr:colOff>
      <xdr:row>49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6A8B68C-E832-716B-A21B-BF5BD5FD9C6F}"/>
            </a:ext>
          </a:extLst>
        </xdr:cNvPr>
        <xdr:cNvSpPr txBox="1"/>
      </xdr:nvSpPr>
      <xdr:spPr>
        <a:xfrm>
          <a:off x="10496550" y="8658225"/>
          <a:ext cx="30670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/>
            <a:t>Data Source: Hospital Management Dataset (Kaggle)</a:t>
          </a:r>
        </a:p>
        <a:p>
          <a:pPr algn="l"/>
          <a:r>
            <a:rPr lang="en-US" sz="1000" b="1"/>
            <a:t>Tools Used: MySQL, Excel</a:t>
          </a:r>
        </a:p>
        <a:p>
          <a:pPr algn="l"/>
          <a:r>
            <a:rPr lang="en-US" sz="1000" b="1"/>
            <a:t>Created by: Regina</a:t>
          </a:r>
          <a:r>
            <a:rPr lang="en-US" sz="1000" b="1" baseline="0"/>
            <a:t> Mayiie Kamara.</a:t>
          </a:r>
          <a:endParaRPr lang="en-US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</xdr:colOff>
      <xdr:row>1</xdr:row>
      <xdr:rowOff>171450</xdr:rowOff>
    </xdr:from>
    <xdr:ext cx="5934074" cy="843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EA3F4-CBB2-8AF1-1E83-C0F5594D6C01}"/>
            </a:ext>
          </a:extLst>
        </xdr:cNvPr>
        <xdr:cNvSpPr txBox="1"/>
      </xdr:nvSpPr>
      <xdr:spPr>
        <a:xfrm>
          <a:off x="1828801" y="361950"/>
          <a:ext cx="5934074" cy="843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400" b="1"/>
            <a:t>Healthcare</a:t>
          </a:r>
          <a:r>
            <a:rPr lang="en-US" sz="2400"/>
            <a:t> </a:t>
          </a:r>
          <a:r>
            <a:rPr lang="en-US" sz="2400" b="1"/>
            <a:t>Patient</a:t>
          </a:r>
          <a:r>
            <a:rPr lang="en-US" sz="2400"/>
            <a:t> </a:t>
          </a:r>
          <a:r>
            <a:rPr lang="en-US" sz="2400" b="1"/>
            <a:t>&amp;</a:t>
          </a:r>
          <a:r>
            <a:rPr lang="en-US" sz="2400"/>
            <a:t> </a:t>
          </a:r>
          <a:r>
            <a:rPr lang="en-US" sz="2400" b="1"/>
            <a:t>Operations</a:t>
          </a:r>
          <a:r>
            <a:rPr lang="en-US" sz="2400"/>
            <a:t> </a:t>
          </a:r>
          <a:r>
            <a:rPr lang="en-US" sz="2400" b="1"/>
            <a:t>Analytics</a:t>
          </a:r>
          <a:r>
            <a:rPr lang="en-US" sz="2400"/>
            <a:t> </a:t>
          </a:r>
          <a:r>
            <a:rPr lang="en-US" sz="2400" b="1"/>
            <a:t>Dashboard</a:t>
          </a:r>
        </a:p>
      </xdr:txBody>
    </xdr:sp>
    <xdr:clientData/>
  </xdr:oneCellAnchor>
  <xdr:twoCellAnchor>
    <xdr:from>
      <xdr:col>0</xdr:col>
      <xdr:colOff>95250</xdr:colOff>
      <xdr:row>7</xdr:row>
      <xdr:rowOff>95250</xdr:rowOff>
    </xdr:from>
    <xdr:to>
      <xdr:col>4</xdr:col>
      <xdr:colOff>561975</xdr:colOff>
      <xdr:row>14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3E2BA60-1047-DD37-AD89-CBD4EACDA286}"/>
            </a:ext>
          </a:extLst>
        </xdr:cNvPr>
        <xdr:cNvSpPr/>
      </xdr:nvSpPr>
      <xdr:spPr>
        <a:xfrm>
          <a:off x="95250" y="1428750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 Patients</a:t>
          </a:r>
        </a:p>
      </xdr:txBody>
    </xdr:sp>
    <xdr:clientData/>
  </xdr:twoCellAnchor>
  <xdr:twoCellAnchor>
    <xdr:from>
      <xdr:col>6</xdr:col>
      <xdr:colOff>276225</xdr:colOff>
      <xdr:row>7</xdr:row>
      <xdr:rowOff>123825</xdr:rowOff>
    </xdr:from>
    <xdr:to>
      <xdr:col>11</xdr:col>
      <xdr:colOff>133350</xdr:colOff>
      <xdr:row>14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CA5A4E0-7E51-4653-ABA3-BBAEABA0F5B8}"/>
            </a:ext>
          </a:extLst>
        </xdr:cNvPr>
        <xdr:cNvSpPr/>
      </xdr:nvSpPr>
      <xdr:spPr>
        <a:xfrm>
          <a:off x="3933825" y="1457325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 Doctors </a:t>
          </a:r>
        </a:p>
      </xdr:txBody>
    </xdr:sp>
    <xdr:clientData/>
  </xdr:twoCellAnchor>
  <xdr:twoCellAnchor>
    <xdr:from>
      <xdr:col>12</xdr:col>
      <xdr:colOff>466725</xdr:colOff>
      <xdr:row>7</xdr:row>
      <xdr:rowOff>114300</xdr:rowOff>
    </xdr:from>
    <xdr:to>
      <xdr:col>17</xdr:col>
      <xdr:colOff>323850</xdr:colOff>
      <xdr:row>14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7873D74-8150-4B5F-9625-F0969942F997}"/>
            </a:ext>
          </a:extLst>
        </xdr:cNvPr>
        <xdr:cNvSpPr/>
      </xdr:nvSpPr>
      <xdr:spPr>
        <a:xfrm>
          <a:off x="7781925" y="1447800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 Appointments</a:t>
          </a:r>
        </a:p>
      </xdr:txBody>
    </xdr:sp>
    <xdr:clientData/>
  </xdr:twoCellAnchor>
  <xdr:twoCellAnchor>
    <xdr:from>
      <xdr:col>0</xdr:col>
      <xdr:colOff>85725</xdr:colOff>
      <xdr:row>18</xdr:row>
      <xdr:rowOff>114300</xdr:rowOff>
    </xdr:from>
    <xdr:to>
      <xdr:col>4</xdr:col>
      <xdr:colOff>552450</xdr:colOff>
      <xdr:row>25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103225A-2509-40E8-B717-F14691A9707C}"/>
            </a:ext>
          </a:extLst>
        </xdr:cNvPr>
        <xdr:cNvSpPr/>
      </xdr:nvSpPr>
      <xdr:spPr>
        <a:xfrm>
          <a:off x="85725" y="3543300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 Revenue</a:t>
          </a:r>
        </a:p>
      </xdr:txBody>
    </xdr:sp>
    <xdr:clientData/>
  </xdr:twoCellAnchor>
  <xdr:twoCellAnchor>
    <xdr:from>
      <xdr:col>6</xdr:col>
      <xdr:colOff>266700</xdr:colOff>
      <xdr:row>18</xdr:row>
      <xdr:rowOff>114300</xdr:rowOff>
    </xdr:from>
    <xdr:to>
      <xdr:col>11</xdr:col>
      <xdr:colOff>123825</xdr:colOff>
      <xdr:row>25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149AFB3-2EFA-468D-B58B-D53136BE6102}"/>
            </a:ext>
          </a:extLst>
        </xdr:cNvPr>
        <xdr:cNvSpPr/>
      </xdr:nvSpPr>
      <xdr:spPr>
        <a:xfrm>
          <a:off x="3924300" y="3543300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Completio</a:t>
          </a:r>
          <a:r>
            <a:rPr lang="en-US" sz="1200" b="1" baseline="0"/>
            <a:t>n Rate</a:t>
          </a:r>
          <a:endParaRPr lang="en-US" sz="1200" b="1"/>
        </a:p>
      </xdr:txBody>
    </xdr:sp>
    <xdr:clientData/>
  </xdr:twoCellAnchor>
  <xdr:twoCellAnchor>
    <xdr:from>
      <xdr:col>12</xdr:col>
      <xdr:colOff>495300</xdr:colOff>
      <xdr:row>18</xdr:row>
      <xdr:rowOff>142875</xdr:rowOff>
    </xdr:from>
    <xdr:to>
      <xdr:col>17</xdr:col>
      <xdr:colOff>352425</xdr:colOff>
      <xdr:row>25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44EDF95-E520-4598-9954-C030D9E74256}"/>
            </a:ext>
          </a:extLst>
        </xdr:cNvPr>
        <xdr:cNvSpPr/>
      </xdr:nvSpPr>
      <xdr:spPr>
        <a:xfrm>
          <a:off x="7810500" y="3571875"/>
          <a:ext cx="2905125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No Show Rate</a:t>
          </a:r>
        </a:p>
      </xdr:txBody>
    </xdr:sp>
    <xdr:clientData/>
  </xdr:twoCellAnchor>
  <xdr:twoCellAnchor>
    <xdr:from>
      <xdr:col>0</xdr:col>
      <xdr:colOff>257175</xdr:colOff>
      <xdr:row>10</xdr:row>
      <xdr:rowOff>47625</xdr:rowOff>
    </xdr:from>
    <xdr:to>
      <xdr:col>1</xdr:col>
      <xdr:colOff>95250</xdr:colOff>
      <xdr:row>12</xdr:row>
      <xdr:rowOff>76200</xdr:rowOff>
    </xdr:to>
    <xdr:sp macro="" textlink="KPI_Calculations!B2">
      <xdr:nvSpPr>
        <xdr:cNvPr id="14" name="TextBox 13">
          <a:extLst>
            <a:ext uri="{FF2B5EF4-FFF2-40B4-BE49-F238E27FC236}">
              <a16:creationId xmlns:a16="http://schemas.microsoft.com/office/drawing/2014/main" id="{D19DA24A-65A3-0870-064B-F4568A3CE0B2}"/>
            </a:ext>
          </a:extLst>
        </xdr:cNvPr>
        <xdr:cNvSpPr txBox="1"/>
      </xdr:nvSpPr>
      <xdr:spPr>
        <a:xfrm>
          <a:off x="257175" y="1952625"/>
          <a:ext cx="4476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EC4BE9B-67A9-4172-BAEF-A8AD8A4A1D68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50</a:t>
          </a:fld>
          <a:endParaRPr lang="en-US" sz="1800" b="1"/>
        </a:p>
      </xdr:txBody>
    </xdr:sp>
    <xdr:clientData/>
  </xdr:twoCellAnchor>
  <xdr:twoCellAnchor>
    <xdr:from>
      <xdr:col>6</xdr:col>
      <xdr:colOff>447675</xdr:colOff>
      <xdr:row>10</xdr:row>
      <xdr:rowOff>66675</xdr:rowOff>
    </xdr:from>
    <xdr:to>
      <xdr:col>7</xdr:col>
      <xdr:colOff>304800</xdr:colOff>
      <xdr:row>12</xdr:row>
      <xdr:rowOff>47625</xdr:rowOff>
    </xdr:to>
    <xdr:sp macro="" textlink="KPI_Calculations!B3">
      <xdr:nvSpPr>
        <xdr:cNvPr id="15" name="TextBox 14">
          <a:extLst>
            <a:ext uri="{FF2B5EF4-FFF2-40B4-BE49-F238E27FC236}">
              <a16:creationId xmlns:a16="http://schemas.microsoft.com/office/drawing/2014/main" id="{AB118FE8-2C25-B8E6-70CC-0A581F2E8B48}"/>
            </a:ext>
          </a:extLst>
        </xdr:cNvPr>
        <xdr:cNvSpPr txBox="1"/>
      </xdr:nvSpPr>
      <xdr:spPr>
        <a:xfrm>
          <a:off x="4105275" y="1971675"/>
          <a:ext cx="4667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7617FB8-0A3B-4607-988B-15CD67A62044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10</a:t>
          </a:fld>
          <a:endParaRPr lang="en-US" sz="1800" b="1"/>
        </a:p>
      </xdr:txBody>
    </xdr:sp>
    <xdr:clientData/>
  </xdr:twoCellAnchor>
  <xdr:twoCellAnchor>
    <xdr:from>
      <xdr:col>13</xdr:col>
      <xdr:colOff>19050</xdr:colOff>
      <xdr:row>10</xdr:row>
      <xdr:rowOff>57150</xdr:rowOff>
    </xdr:from>
    <xdr:to>
      <xdr:col>13</xdr:col>
      <xdr:colOff>542925</xdr:colOff>
      <xdr:row>12</xdr:row>
      <xdr:rowOff>9525</xdr:rowOff>
    </xdr:to>
    <xdr:sp macro="" textlink="KPI_Calculations!B4">
      <xdr:nvSpPr>
        <xdr:cNvPr id="16" name="TextBox 15">
          <a:extLst>
            <a:ext uri="{FF2B5EF4-FFF2-40B4-BE49-F238E27FC236}">
              <a16:creationId xmlns:a16="http://schemas.microsoft.com/office/drawing/2014/main" id="{4F6EB0CD-7F57-91AC-10C6-F86BB0E642CE}"/>
            </a:ext>
          </a:extLst>
        </xdr:cNvPr>
        <xdr:cNvSpPr txBox="1"/>
      </xdr:nvSpPr>
      <xdr:spPr>
        <a:xfrm>
          <a:off x="7943850" y="1962150"/>
          <a:ext cx="5238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2D90200-2F92-445B-A454-AA2B45B90A3E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200</a:t>
          </a:fld>
          <a:endParaRPr lang="en-US" sz="1800" b="1"/>
        </a:p>
      </xdr:txBody>
    </xdr:sp>
    <xdr:clientData/>
  </xdr:twoCellAnchor>
  <xdr:twoCellAnchor>
    <xdr:from>
      <xdr:col>0</xdr:col>
      <xdr:colOff>180975</xdr:colOff>
      <xdr:row>21</xdr:row>
      <xdr:rowOff>85725</xdr:rowOff>
    </xdr:from>
    <xdr:to>
      <xdr:col>2</xdr:col>
      <xdr:colOff>295275</xdr:colOff>
      <xdr:row>23</xdr:row>
      <xdr:rowOff>19050</xdr:rowOff>
    </xdr:to>
    <xdr:sp macro="" textlink="KPI_Calculations!B5">
      <xdr:nvSpPr>
        <xdr:cNvPr id="17" name="TextBox 16">
          <a:extLst>
            <a:ext uri="{FF2B5EF4-FFF2-40B4-BE49-F238E27FC236}">
              <a16:creationId xmlns:a16="http://schemas.microsoft.com/office/drawing/2014/main" id="{BC4A1AF9-4DDE-0A91-E1BC-63EBE31BC1A2}"/>
            </a:ext>
          </a:extLst>
        </xdr:cNvPr>
        <xdr:cNvSpPr txBox="1"/>
      </xdr:nvSpPr>
      <xdr:spPr>
        <a:xfrm>
          <a:off x="180975" y="4086225"/>
          <a:ext cx="13335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564298-904A-49F6-8638-43EEB6212FC3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551249.85</a:t>
          </a:fld>
          <a:endParaRPr lang="en-US" sz="1800" b="1"/>
        </a:p>
      </xdr:txBody>
    </xdr:sp>
    <xdr:clientData/>
  </xdr:twoCellAnchor>
  <xdr:twoCellAnchor>
    <xdr:from>
      <xdr:col>6</xdr:col>
      <xdr:colOff>390526</xdr:colOff>
      <xdr:row>21</xdr:row>
      <xdr:rowOff>28575</xdr:rowOff>
    </xdr:from>
    <xdr:to>
      <xdr:col>7</xdr:col>
      <xdr:colOff>390526</xdr:colOff>
      <xdr:row>22</xdr:row>
      <xdr:rowOff>123825</xdr:rowOff>
    </xdr:to>
    <xdr:sp macro="" textlink="KPI_Calculations!B7">
      <xdr:nvSpPr>
        <xdr:cNvPr id="18" name="TextBox 17">
          <a:extLst>
            <a:ext uri="{FF2B5EF4-FFF2-40B4-BE49-F238E27FC236}">
              <a16:creationId xmlns:a16="http://schemas.microsoft.com/office/drawing/2014/main" id="{57705BB4-BA47-446F-BA2C-DEF2858D559F}"/>
            </a:ext>
          </a:extLst>
        </xdr:cNvPr>
        <xdr:cNvSpPr txBox="1"/>
      </xdr:nvSpPr>
      <xdr:spPr>
        <a:xfrm>
          <a:off x="4048126" y="4029075"/>
          <a:ext cx="6096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DC5E6C-DEFF-43C5-AF6E-834DA5DF9277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0.23</a:t>
          </a:fld>
          <a:endParaRPr lang="en-US" sz="1800" b="1"/>
        </a:p>
      </xdr:txBody>
    </xdr:sp>
    <xdr:clientData/>
  </xdr:twoCellAnchor>
  <xdr:twoCellAnchor>
    <xdr:from>
      <xdr:col>13</xdr:col>
      <xdr:colOff>47625</xdr:colOff>
      <xdr:row>20</xdr:row>
      <xdr:rowOff>152400</xdr:rowOff>
    </xdr:from>
    <xdr:to>
      <xdr:col>14</xdr:col>
      <xdr:colOff>9525</xdr:colOff>
      <xdr:row>22</xdr:row>
      <xdr:rowOff>133350</xdr:rowOff>
    </xdr:to>
    <xdr:sp macro="" textlink="KPI_Calculations!B8">
      <xdr:nvSpPr>
        <xdr:cNvPr id="19" name="TextBox 18">
          <a:extLst>
            <a:ext uri="{FF2B5EF4-FFF2-40B4-BE49-F238E27FC236}">
              <a16:creationId xmlns:a16="http://schemas.microsoft.com/office/drawing/2014/main" id="{DA162383-45C6-491F-A1D5-29B457FDF6C3}"/>
            </a:ext>
          </a:extLst>
        </xdr:cNvPr>
        <xdr:cNvSpPr txBox="1"/>
      </xdr:nvSpPr>
      <xdr:spPr>
        <a:xfrm>
          <a:off x="7972425" y="3962400"/>
          <a:ext cx="5715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EB7269-C41D-4BB6-B24F-330E6B1DDEC4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0.26</a:t>
          </a:fld>
          <a:endParaRPr lang="en-US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2.03611296296" createdVersion="8" refreshedVersion="8" minRefreshableVersion="3" recordCount="200" xr:uid="{9F48CED3-8FF4-41BA-BC9F-D65167BD2EE4}">
  <cacheSource type="worksheet">
    <worksheetSource name="tbl_appointments"/>
  </cacheSource>
  <cacheFields count="9">
    <cacheField name="Appointment_ID" numFmtId="0">
      <sharedItems/>
    </cacheField>
    <cacheField name="Patient_ID" numFmtId="0">
      <sharedItems/>
    </cacheField>
    <cacheField name="Doctor_ID" numFmtId="0">
      <sharedItems/>
    </cacheField>
    <cacheField name="Appointment_Date" numFmtId="14">
      <sharedItems containsSemiMixedTypes="0" containsNonDate="0" containsDate="1" containsString="0" minDate="2023-01-01T00:00:00" maxDate="2023-12-31T00:00:00"/>
    </cacheField>
    <cacheField name="Appointment_Time" numFmtId="164">
      <sharedItems containsSemiMixedTypes="0" containsNonDate="0" containsDate="1" containsString="0" minDate="1899-12-30T08:00:00" maxDate="1899-12-30T17:45:00"/>
    </cacheField>
    <cacheField name="Reason_For_Visit" numFmtId="0">
      <sharedItems/>
    </cacheField>
    <cacheField name="Status" numFmtId="0">
      <sharedItems count="4">
        <s v="Scheduled"/>
        <s v="No-show"/>
        <s v="Cancelled"/>
        <s v="Completed"/>
      </sharedItems>
    </cacheField>
    <cacheField name="Appointment_Year" numFmtId="0">
      <sharedItems containsSemiMixedTypes="0" containsString="0" containsNumber="1" containsInteger="1" minValue="2023" maxValue="2023"/>
    </cacheField>
    <cacheField name="Appointment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5.901778935186" createdVersion="8" refreshedVersion="8" minRefreshableVersion="3" recordCount="200" xr:uid="{E11B8F0A-ED76-425D-B2D4-CB1B2E01706A}">
  <cacheSource type="worksheet">
    <worksheetSource name="tbl_treatments"/>
  </cacheSource>
  <cacheFields count="6">
    <cacheField name="Treatment_ID" numFmtId="0">
      <sharedItems/>
    </cacheField>
    <cacheField name="Appointment_ID" numFmtId="0">
      <sharedItems/>
    </cacheField>
    <cacheField name="Treatment_Type" numFmtId="0">
      <sharedItems count="5">
        <s v="Chemotherapy"/>
        <s v="MRI"/>
        <s v="ECG"/>
        <s v="Physiotherapy"/>
        <s v="X-Ray"/>
      </sharedItems>
    </cacheField>
    <cacheField name="Description" numFmtId="0">
      <sharedItems/>
    </cacheField>
    <cacheField name="Cost" numFmtId="0">
      <sharedItems containsSemiMixedTypes="0" containsString="0" containsNumber="1" minValue="534.03" maxValue="4973.63"/>
    </cacheField>
    <cacheField name="Treatment_Date" numFmtId="14">
      <sharedItems containsSemiMixedTypes="0" containsNonDate="0" containsDate="1" containsString="0" minDate="2023-01-01T00:00:00" maxDate="2023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5.919482754631" createdVersion="8" refreshedVersion="8" minRefreshableVersion="3" recordCount="10" xr:uid="{5C6BCB9D-7D98-4BEA-BE2E-7A8CA9E43776}">
  <cacheSource type="worksheet">
    <worksheetSource name="tbl_doctor_performance"/>
  </cacheSource>
  <cacheFields count="4">
    <cacheField name="Doctor_ID" numFmtId="0">
      <sharedItems/>
    </cacheField>
    <cacheField name="Doctor_Name" numFmtId="0">
      <sharedItems count="10">
        <s v="Sarah Taylor"/>
        <s v="David Taylor"/>
        <s v="Alex Davis"/>
        <s v="Jane Smith"/>
        <s v="Jane Davis"/>
        <s v="Linda Wilson"/>
        <s v="Sarah Smith"/>
        <s v="Linda Brown"/>
        <s v="David Jones"/>
        <s v="Robert Davis"/>
      </sharedItems>
    </cacheField>
    <cacheField name="Specialization" numFmtId="0">
      <sharedItems/>
    </cacheField>
    <cacheField name="Appointment_Count" numFmtId="0">
      <sharedItems containsSemiMixedTypes="0" containsString="0" containsNumber="1" containsInteger="1" minValue="13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5.923942476853" createdVersion="8" refreshedVersion="8" minRefreshableVersion="3" recordCount="50" xr:uid="{B7D3F0E5-3249-425B-8515-683253151128}">
  <cacheSource type="worksheet">
    <worksheetSource name="tbl_patients"/>
  </cacheSource>
  <cacheFields count="13">
    <cacheField name="Patient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ate_Of_Birth" numFmtId="14">
      <sharedItems containsSemiMixedTypes="0" containsNonDate="0" containsDate="1" containsString="0" minDate="1950-01-26T00:00:00" maxDate="2005-05-16T00:00:00"/>
    </cacheField>
    <cacheField name="Contact_Number" numFmtId="0">
      <sharedItems containsSemiMixedTypes="0" containsString="0" containsNumber="1" containsInteger="1" minValue="6141951830" maxValue="9900972256"/>
    </cacheField>
    <cacheField name="Address" numFmtId="0">
      <sharedItems/>
    </cacheField>
    <cacheField name="Registration_Date" numFmtId="14">
      <sharedItems containsSemiMixedTypes="0" containsNonDate="0" containsDate="1" containsString="0" minDate="2021-01-23T00:00:00" maxDate="2023-12-13T00:00:00"/>
    </cacheField>
    <cacheField name="Insurance_Provider" numFmtId="0">
      <sharedItems/>
    </cacheField>
    <cacheField name="Insurance_Number" numFmtId="0">
      <sharedItems/>
    </cacheField>
    <cacheField name="Email" numFmtId="0">
      <sharedItems/>
    </cacheField>
    <cacheField name="Age" numFmtId="0">
      <sharedItems containsSemiMixedTypes="0" containsString="0" containsNumber="1" containsInteger="1" minValue="21" maxValue="76"/>
    </cacheField>
    <cacheField name="Age_Group" numFmtId="0">
      <sharedItems count="4">
        <s v="65+"/>
        <s v="36-50"/>
        <s v="51-65"/>
        <s v="18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5.926246759256" createdVersion="8" refreshedVersion="8" minRefreshableVersion="3" recordCount="200" xr:uid="{34ADAFB6-2BC6-4DC9-AB90-5B25CE37BABD}">
  <cacheSource type="worksheet">
    <worksheetSource name="tbl_billing"/>
  </cacheSource>
  <cacheFields count="7">
    <cacheField name="Bill_ID" numFmtId="0">
      <sharedItems/>
    </cacheField>
    <cacheField name="Patient_ID" numFmtId="0">
      <sharedItems/>
    </cacheField>
    <cacheField name="Treatment_ID" numFmtId="0">
      <sharedItems/>
    </cacheField>
    <cacheField name="Bill_Date" numFmtId="14">
      <sharedItems containsSemiMixedTypes="0" containsNonDate="0" containsDate="1" containsString="0" minDate="2023-01-01T00:00:00" maxDate="2023-12-31T00:00:00"/>
    </cacheField>
    <cacheField name="Amount" numFmtId="0">
      <sharedItems containsSemiMixedTypes="0" containsString="0" containsNumber="1" minValue="534.03" maxValue="4973.63"/>
    </cacheField>
    <cacheField name="Payment_Method" numFmtId="0">
      <sharedItems count="3">
        <s v="Insurance"/>
        <s v="Credit Card"/>
        <s v="Cash"/>
      </sharedItems>
    </cacheField>
    <cacheField name="Payme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gi" refreshedDate="46175.93111203704" createdVersion="8" refreshedVersion="8" minRefreshableVersion="3" recordCount="12" xr:uid="{2F236705-1961-4ABE-B612-59910789CBCF}">
  <cacheSource type="worksheet">
    <worksheetSource name="tbl_monthly_revenue"/>
  </cacheSource>
  <cacheFields count="3">
    <cacheField name="Bill_Year" numFmtId="0">
      <sharedItems containsSemiMixedTypes="0" containsString="0" containsNumber="1" containsInteger="1" minValue="2023" maxValue="2023"/>
    </cacheField>
    <cacheField name="Bill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27569.71" maxValue="6427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001"/>
    <s v="P034"/>
    <s v="D009"/>
    <d v="2023-08-09T00:00:00"/>
    <d v="1899-12-30T15:15:00"/>
    <s v="Therapy"/>
    <x v="0"/>
    <n v="2023"/>
    <s v="August"/>
  </r>
  <r>
    <s v="A002"/>
    <s v="P032"/>
    <s v="D004"/>
    <d v="2023-06-09T00:00:00"/>
    <d v="1899-12-30T14:30:00"/>
    <s v="Therapy"/>
    <x v="1"/>
    <n v="2023"/>
    <s v="June"/>
  </r>
  <r>
    <s v="A003"/>
    <s v="P048"/>
    <s v="D004"/>
    <d v="2023-06-28T00:00:00"/>
    <d v="1899-12-30T08:00:00"/>
    <s v="Consultation"/>
    <x v="2"/>
    <n v="2023"/>
    <s v="June"/>
  </r>
  <r>
    <s v="A004"/>
    <s v="P025"/>
    <s v="D006"/>
    <d v="2023-09-01T00:00:00"/>
    <d v="1899-12-30T09:15:00"/>
    <s v="Consultation"/>
    <x v="2"/>
    <n v="2023"/>
    <s v="September"/>
  </r>
  <r>
    <s v="A005"/>
    <s v="P040"/>
    <s v="D003"/>
    <d v="2023-07-06T00:00:00"/>
    <d v="1899-12-30T12:45:00"/>
    <s v="Emergency"/>
    <x v="1"/>
    <n v="2023"/>
    <s v="July"/>
  </r>
  <r>
    <s v="A006"/>
    <s v="P045"/>
    <s v="D006"/>
    <d v="2023-06-19T00:00:00"/>
    <d v="1899-12-30T16:15:00"/>
    <s v="Checkup"/>
    <x v="0"/>
    <n v="2023"/>
    <s v="June"/>
  </r>
  <r>
    <s v="A007"/>
    <s v="P001"/>
    <s v="D007"/>
    <d v="2023-04-09T00:00:00"/>
    <d v="1899-12-30T10:30:00"/>
    <s v="Consultation"/>
    <x v="0"/>
    <n v="2023"/>
    <s v="April"/>
  </r>
  <r>
    <s v="A008"/>
    <s v="P016"/>
    <s v="D010"/>
    <d v="2023-05-24T00:00:00"/>
    <d v="1899-12-30T08:45:00"/>
    <s v="Consultation"/>
    <x v="2"/>
    <n v="2023"/>
    <s v="May"/>
  </r>
  <r>
    <s v="A009"/>
    <s v="P039"/>
    <s v="D010"/>
    <d v="2023-03-05T00:00:00"/>
    <d v="1899-12-30T13:45:00"/>
    <s v="Follow-up"/>
    <x v="0"/>
    <n v="2023"/>
    <s v="March"/>
  </r>
  <r>
    <s v="A010"/>
    <s v="P005"/>
    <s v="D003"/>
    <d v="2023-01-13T00:00:00"/>
    <d v="1899-12-30T15:30:00"/>
    <s v="Therapy"/>
    <x v="3"/>
    <n v="2023"/>
    <s v="January"/>
  </r>
  <r>
    <s v="A011"/>
    <s v="P022"/>
    <s v="D007"/>
    <d v="2023-11-12T00:00:00"/>
    <d v="1899-12-30T16:00:00"/>
    <s v="Checkup"/>
    <x v="1"/>
    <n v="2023"/>
    <s v="November"/>
  </r>
  <r>
    <s v="A012"/>
    <s v="P029"/>
    <s v="D003"/>
    <d v="2023-05-07T00:00:00"/>
    <d v="1899-12-30T10:00:00"/>
    <s v="Follow-up"/>
    <x v="3"/>
    <n v="2023"/>
    <s v="May"/>
  </r>
  <r>
    <s v="A013"/>
    <s v="P003"/>
    <s v="D002"/>
    <d v="2023-08-16T00:00:00"/>
    <d v="1899-12-30T12:00:00"/>
    <s v="Emergency"/>
    <x v="0"/>
    <n v="2023"/>
    <s v="August"/>
  </r>
  <r>
    <s v="A014"/>
    <s v="P012"/>
    <s v="D010"/>
    <d v="2023-05-25T00:00:00"/>
    <d v="1899-12-30T10:30:00"/>
    <s v="Emergency"/>
    <x v="2"/>
    <n v="2023"/>
    <s v="May"/>
  </r>
  <r>
    <s v="A015"/>
    <s v="P026"/>
    <s v="D004"/>
    <d v="2023-01-15T00:00:00"/>
    <d v="1899-12-30T17:15:00"/>
    <s v="Consultation"/>
    <x v="1"/>
    <n v="2023"/>
    <s v="January"/>
  </r>
  <r>
    <s v="A016"/>
    <s v="P016"/>
    <s v="D008"/>
    <d v="2023-06-30T00:00:00"/>
    <d v="1899-12-30T11:00:00"/>
    <s v="Consultation"/>
    <x v="0"/>
    <n v="2023"/>
    <s v="June"/>
  </r>
  <r>
    <s v="A017"/>
    <s v="P037"/>
    <s v="D009"/>
    <d v="2023-07-11T00:00:00"/>
    <d v="1899-12-30T17:00:00"/>
    <s v="Emergency"/>
    <x v="0"/>
    <n v="2023"/>
    <s v="July"/>
  </r>
  <r>
    <s v="A018"/>
    <s v="P022"/>
    <s v="D007"/>
    <d v="2023-11-14T00:00:00"/>
    <d v="1899-12-30T09:45:00"/>
    <s v="Consultation"/>
    <x v="2"/>
    <n v="2023"/>
    <s v="November"/>
  </r>
  <r>
    <s v="A019"/>
    <s v="P029"/>
    <s v="D001"/>
    <d v="2023-02-06T00:00:00"/>
    <d v="1899-12-30T15:30:00"/>
    <s v="Checkup"/>
    <x v="2"/>
    <n v="2023"/>
    <s v="February"/>
  </r>
  <r>
    <s v="A020"/>
    <s v="P014"/>
    <s v="D003"/>
    <d v="2023-12-05T00:00:00"/>
    <d v="1899-12-30T15:15:00"/>
    <s v="Consultation"/>
    <x v="3"/>
    <n v="2023"/>
    <s v="December"/>
  </r>
  <r>
    <s v="A021"/>
    <s v="P028"/>
    <s v="D009"/>
    <d v="2023-04-24T00:00:00"/>
    <d v="1899-12-30T10:00:00"/>
    <s v="Therapy"/>
    <x v="1"/>
    <n v="2023"/>
    <s v="April"/>
  </r>
  <r>
    <s v="A022"/>
    <s v="P005"/>
    <s v="D001"/>
    <d v="2023-11-14T00:00:00"/>
    <d v="1899-12-30T13:00:00"/>
    <s v="Consultation"/>
    <x v="1"/>
    <n v="2023"/>
    <s v="November"/>
  </r>
  <r>
    <s v="A023"/>
    <s v="P047"/>
    <s v="D009"/>
    <d v="2023-05-09T00:00:00"/>
    <d v="1899-12-30T14:30:00"/>
    <s v="Follow-up"/>
    <x v="2"/>
    <n v="2023"/>
    <s v="May"/>
  </r>
  <r>
    <s v="A024"/>
    <s v="P049"/>
    <s v="D008"/>
    <d v="2023-06-21T00:00:00"/>
    <d v="1899-12-30T08:00:00"/>
    <s v="Checkup"/>
    <x v="3"/>
    <n v="2023"/>
    <s v="June"/>
  </r>
  <r>
    <s v="A025"/>
    <s v="P030"/>
    <s v="D001"/>
    <d v="2023-02-25T00:00:00"/>
    <d v="1899-12-30T08:00:00"/>
    <s v="Follow-up"/>
    <x v="1"/>
    <n v="2023"/>
    <s v="February"/>
  </r>
  <r>
    <s v="A026"/>
    <s v="P046"/>
    <s v="D006"/>
    <d v="2023-03-17T00:00:00"/>
    <d v="1899-12-30T14:15:00"/>
    <s v="Follow-up"/>
    <x v="2"/>
    <n v="2023"/>
    <s v="March"/>
  </r>
  <r>
    <s v="A027"/>
    <s v="P005"/>
    <s v="D005"/>
    <d v="2023-11-14T00:00:00"/>
    <d v="1899-12-30T12:45:00"/>
    <s v="Therapy"/>
    <x v="0"/>
    <n v="2023"/>
    <s v="November"/>
  </r>
  <r>
    <s v="A028"/>
    <s v="P012"/>
    <s v="D006"/>
    <d v="2023-10-29T00:00:00"/>
    <d v="1899-12-30T15:30:00"/>
    <s v="Checkup"/>
    <x v="1"/>
    <n v="2023"/>
    <s v="October"/>
  </r>
  <r>
    <s v="A029"/>
    <s v="P016"/>
    <s v="D010"/>
    <d v="2023-06-25T00:00:00"/>
    <d v="1899-12-30T14:30:00"/>
    <s v="Checkup"/>
    <x v="3"/>
    <n v="2023"/>
    <s v="June"/>
  </r>
  <r>
    <s v="A030"/>
    <s v="P026"/>
    <s v="D005"/>
    <d v="2023-08-29T00:00:00"/>
    <d v="1899-12-30T13:15:00"/>
    <s v="Checkup"/>
    <x v="3"/>
    <n v="2023"/>
    <s v="August"/>
  </r>
  <r>
    <s v="A031"/>
    <s v="P026"/>
    <s v="D006"/>
    <d v="2023-04-04T00:00:00"/>
    <d v="1899-12-30T10:30:00"/>
    <s v="Checkup"/>
    <x v="3"/>
    <n v="2023"/>
    <s v="April"/>
  </r>
  <r>
    <s v="A032"/>
    <s v="P048"/>
    <s v="D005"/>
    <d v="2023-11-06T00:00:00"/>
    <d v="1899-12-30T10:45:00"/>
    <s v="Checkup"/>
    <x v="0"/>
    <n v="2023"/>
    <s v="November"/>
  </r>
  <r>
    <s v="A033"/>
    <s v="P021"/>
    <s v="D005"/>
    <d v="2023-09-23T00:00:00"/>
    <d v="1899-12-30T17:45:00"/>
    <s v="Therapy"/>
    <x v="1"/>
    <n v="2023"/>
    <s v="September"/>
  </r>
  <r>
    <s v="A034"/>
    <s v="P039"/>
    <s v="D004"/>
    <d v="2023-06-13T00:00:00"/>
    <d v="1899-12-30T11:30:00"/>
    <s v="Consultation"/>
    <x v="1"/>
    <n v="2023"/>
    <s v="June"/>
  </r>
  <r>
    <s v="A035"/>
    <s v="P036"/>
    <s v="D003"/>
    <d v="2023-04-18T00:00:00"/>
    <d v="1899-12-30T08:45:00"/>
    <s v="Follow-up"/>
    <x v="0"/>
    <n v="2023"/>
    <s v="April"/>
  </r>
  <r>
    <s v="A036"/>
    <s v="P033"/>
    <s v="D003"/>
    <d v="2023-01-08T00:00:00"/>
    <d v="1899-12-30T14:30:00"/>
    <s v="Checkup"/>
    <x v="1"/>
    <n v="2023"/>
    <s v="January"/>
  </r>
  <r>
    <s v="A037"/>
    <s v="P030"/>
    <s v="D004"/>
    <d v="2023-03-28T00:00:00"/>
    <d v="1899-12-30T11:00:00"/>
    <s v="Consultation"/>
    <x v="0"/>
    <n v="2023"/>
    <s v="March"/>
  </r>
  <r>
    <s v="A038"/>
    <s v="P037"/>
    <s v="D009"/>
    <d v="2023-02-23T00:00:00"/>
    <d v="1899-12-30T13:00:00"/>
    <s v="Consultation"/>
    <x v="0"/>
    <n v="2023"/>
    <s v="February"/>
  </r>
  <r>
    <s v="A039"/>
    <s v="P023"/>
    <s v="D002"/>
    <d v="2023-04-17T00:00:00"/>
    <d v="1899-12-30T08:00:00"/>
    <s v="Follow-up"/>
    <x v="0"/>
    <n v="2023"/>
    <s v="April"/>
  </r>
  <r>
    <s v="A040"/>
    <s v="P010"/>
    <s v="D009"/>
    <d v="2023-03-27T00:00:00"/>
    <d v="1899-12-30T12:30:00"/>
    <s v="Therapy"/>
    <x v="3"/>
    <n v="2023"/>
    <s v="March"/>
  </r>
  <r>
    <s v="A041"/>
    <s v="P005"/>
    <s v="D001"/>
    <d v="2023-01-01T00:00:00"/>
    <d v="1899-12-30T14:00:00"/>
    <s v="Emergency"/>
    <x v="1"/>
    <n v="2023"/>
    <s v="January"/>
  </r>
  <r>
    <s v="A042"/>
    <s v="P036"/>
    <s v="D001"/>
    <d v="2023-03-21T00:00:00"/>
    <d v="1899-12-30T11:15:00"/>
    <s v="Emergency"/>
    <x v="0"/>
    <n v="2023"/>
    <s v="March"/>
  </r>
  <r>
    <s v="A043"/>
    <s v="P034"/>
    <s v="D005"/>
    <d v="2023-03-29T00:00:00"/>
    <d v="1899-12-30T09:15:00"/>
    <s v="Consultation"/>
    <x v="1"/>
    <n v="2023"/>
    <s v="March"/>
  </r>
  <r>
    <s v="A044"/>
    <s v="P031"/>
    <s v="D006"/>
    <d v="2023-09-20T00:00:00"/>
    <d v="1899-12-30T12:30:00"/>
    <s v="Follow-up"/>
    <x v="3"/>
    <n v="2023"/>
    <s v="September"/>
  </r>
  <r>
    <s v="A045"/>
    <s v="P010"/>
    <s v="D006"/>
    <d v="2023-09-28T00:00:00"/>
    <d v="1899-12-30T17:00:00"/>
    <s v="Emergency"/>
    <x v="0"/>
    <n v="2023"/>
    <s v="September"/>
  </r>
  <r>
    <s v="A046"/>
    <s v="P019"/>
    <s v="D003"/>
    <d v="2023-12-20T00:00:00"/>
    <d v="1899-12-30T13:15:00"/>
    <s v="Consultation"/>
    <x v="2"/>
    <n v="2023"/>
    <s v="December"/>
  </r>
  <r>
    <s v="A047"/>
    <s v="P032"/>
    <s v="D007"/>
    <d v="2023-05-02T00:00:00"/>
    <d v="1899-12-30T11:00:00"/>
    <s v="Therapy"/>
    <x v="3"/>
    <n v="2023"/>
    <s v="May"/>
  </r>
  <r>
    <s v="A048"/>
    <s v="P001"/>
    <s v="D009"/>
    <d v="2023-01-16T00:00:00"/>
    <d v="1899-12-30T15:45:00"/>
    <s v="Emergency"/>
    <x v="2"/>
    <n v="2023"/>
    <s v="January"/>
  </r>
  <r>
    <s v="A049"/>
    <s v="P005"/>
    <s v="D010"/>
    <d v="2023-04-30T00:00:00"/>
    <d v="1899-12-30T15:30:00"/>
    <s v="Consultation"/>
    <x v="1"/>
    <n v="2023"/>
    <s v="April"/>
  </r>
  <r>
    <s v="A050"/>
    <s v="P045"/>
    <s v="D008"/>
    <d v="2023-08-16T00:00:00"/>
    <d v="1899-12-30T15:00:00"/>
    <s v="Consultation"/>
    <x v="1"/>
    <n v="2023"/>
    <s v="August"/>
  </r>
  <r>
    <s v="A051"/>
    <s v="P004"/>
    <s v="D006"/>
    <d v="2023-02-04T00:00:00"/>
    <d v="1899-12-30T11:45:00"/>
    <s v="Checkup"/>
    <x v="3"/>
    <n v="2023"/>
    <s v="February"/>
  </r>
  <r>
    <s v="A052"/>
    <s v="P016"/>
    <s v="D008"/>
    <d v="2023-07-12T00:00:00"/>
    <d v="1899-12-30T09:30:00"/>
    <s v="Therapy"/>
    <x v="1"/>
    <n v="2023"/>
    <s v="July"/>
  </r>
  <r>
    <s v="A053"/>
    <s v="P024"/>
    <s v="D005"/>
    <d v="2023-02-12T00:00:00"/>
    <d v="1899-12-30T10:30:00"/>
    <s v="Checkup"/>
    <x v="2"/>
    <n v="2023"/>
    <s v="February"/>
  </r>
  <r>
    <s v="A054"/>
    <s v="P016"/>
    <s v="D008"/>
    <d v="2023-12-16T00:00:00"/>
    <d v="1899-12-30T11:45:00"/>
    <s v="Follow-up"/>
    <x v="0"/>
    <n v="2023"/>
    <s v="December"/>
  </r>
  <r>
    <s v="A055"/>
    <s v="P002"/>
    <s v="D010"/>
    <d v="2023-10-06T00:00:00"/>
    <d v="1899-12-30T17:30:00"/>
    <s v="Checkup"/>
    <x v="0"/>
    <n v="2023"/>
    <s v="October"/>
  </r>
  <r>
    <s v="A056"/>
    <s v="P049"/>
    <s v="D004"/>
    <d v="2023-01-02T00:00:00"/>
    <d v="1899-12-30T12:45:00"/>
    <s v="Checkup"/>
    <x v="0"/>
    <n v="2023"/>
    <s v="January"/>
  </r>
  <r>
    <s v="A057"/>
    <s v="P028"/>
    <s v="D010"/>
    <d v="2023-04-15T00:00:00"/>
    <d v="1899-12-30T17:45:00"/>
    <s v="Emergency"/>
    <x v="3"/>
    <n v="2023"/>
    <s v="April"/>
  </r>
  <r>
    <s v="A058"/>
    <s v="P032"/>
    <s v="D008"/>
    <d v="2023-05-09T00:00:00"/>
    <d v="1899-12-30T13:15:00"/>
    <s v="Consultation"/>
    <x v="1"/>
    <n v="2023"/>
    <s v="May"/>
  </r>
  <r>
    <s v="A059"/>
    <s v="P027"/>
    <s v="D010"/>
    <d v="2023-03-09T00:00:00"/>
    <d v="1899-12-30T15:30:00"/>
    <s v="Therapy"/>
    <x v="2"/>
    <n v="2023"/>
    <s v="March"/>
  </r>
  <r>
    <s v="A060"/>
    <s v="P020"/>
    <s v="D002"/>
    <d v="2023-11-22T00:00:00"/>
    <d v="1899-12-30T17:15:00"/>
    <s v="Checkup"/>
    <x v="1"/>
    <n v="2023"/>
    <s v="November"/>
  </r>
  <r>
    <s v="A061"/>
    <s v="P024"/>
    <s v="D005"/>
    <d v="2023-01-15T00:00:00"/>
    <d v="1899-12-30T17:00:00"/>
    <s v="Therapy"/>
    <x v="1"/>
    <n v="2023"/>
    <s v="January"/>
  </r>
  <r>
    <s v="A062"/>
    <s v="P012"/>
    <s v="D009"/>
    <d v="2023-06-14T00:00:00"/>
    <d v="1899-12-30T15:15:00"/>
    <s v="Checkup"/>
    <x v="1"/>
    <n v="2023"/>
    <s v="June"/>
  </r>
  <r>
    <s v="A063"/>
    <s v="P050"/>
    <s v="D004"/>
    <d v="2023-06-29T00:00:00"/>
    <d v="1899-12-30T09:00:00"/>
    <s v="Follow-up"/>
    <x v="0"/>
    <n v="2023"/>
    <s v="June"/>
  </r>
  <r>
    <s v="A064"/>
    <s v="P035"/>
    <s v="D006"/>
    <d v="2023-05-31T00:00:00"/>
    <d v="1899-12-30T08:30:00"/>
    <s v="Checkup"/>
    <x v="2"/>
    <n v="2023"/>
    <s v="May"/>
  </r>
  <r>
    <s v="A065"/>
    <s v="P033"/>
    <s v="D001"/>
    <d v="2023-04-24T00:00:00"/>
    <d v="1899-12-30T15:45:00"/>
    <s v="Emergency"/>
    <x v="2"/>
    <n v="2023"/>
    <s v="April"/>
  </r>
  <r>
    <s v="A066"/>
    <s v="P033"/>
    <s v="D009"/>
    <d v="2023-05-10T00:00:00"/>
    <d v="1899-12-30T11:45:00"/>
    <s v="Consultation"/>
    <x v="1"/>
    <n v="2023"/>
    <s v="May"/>
  </r>
  <r>
    <s v="A067"/>
    <s v="P043"/>
    <s v="D001"/>
    <d v="2023-08-10T00:00:00"/>
    <d v="1899-12-30T11:00:00"/>
    <s v="Follow-up"/>
    <x v="0"/>
    <n v="2023"/>
    <s v="August"/>
  </r>
  <r>
    <s v="A068"/>
    <s v="P037"/>
    <s v="D005"/>
    <d v="2023-03-14T00:00:00"/>
    <d v="1899-12-30T15:00:00"/>
    <s v="Checkup"/>
    <x v="0"/>
    <n v="2023"/>
    <s v="March"/>
  </r>
  <r>
    <s v="A069"/>
    <s v="P012"/>
    <s v="D004"/>
    <d v="2023-03-29T00:00:00"/>
    <d v="1899-12-30T15:30:00"/>
    <s v="Therapy"/>
    <x v="2"/>
    <n v="2023"/>
    <s v="March"/>
  </r>
  <r>
    <s v="A070"/>
    <s v="P003"/>
    <s v="D003"/>
    <d v="2023-08-26T00:00:00"/>
    <d v="1899-12-30T17:00:00"/>
    <s v="Follow-up"/>
    <x v="0"/>
    <n v="2023"/>
    <s v="August"/>
  </r>
  <r>
    <s v="A071"/>
    <s v="P001"/>
    <s v="D006"/>
    <d v="2023-01-26T00:00:00"/>
    <d v="1899-12-30T17:00:00"/>
    <s v="Follow-up"/>
    <x v="0"/>
    <n v="2023"/>
    <s v="January"/>
  </r>
  <r>
    <s v="A072"/>
    <s v="P033"/>
    <s v="D002"/>
    <d v="2023-06-12T00:00:00"/>
    <d v="1899-12-30T13:30:00"/>
    <s v="Checkup"/>
    <x v="0"/>
    <n v="2023"/>
    <s v="June"/>
  </r>
  <r>
    <s v="A073"/>
    <s v="P040"/>
    <s v="D003"/>
    <d v="2023-12-24T00:00:00"/>
    <d v="1899-12-30T15:00:00"/>
    <s v="Follow-up"/>
    <x v="3"/>
    <n v="2023"/>
    <s v="December"/>
  </r>
  <r>
    <s v="A074"/>
    <s v="P010"/>
    <s v="D005"/>
    <d v="2023-07-23T00:00:00"/>
    <d v="1899-12-30T13:30:00"/>
    <s v="Therapy"/>
    <x v="1"/>
    <n v="2023"/>
    <s v="July"/>
  </r>
  <r>
    <s v="A075"/>
    <s v="P043"/>
    <s v="D009"/>
    <d v="2023-05-08T00:00:00"/>
    <d v="1899-12-30T14:00:00"/>
    <s v="Follow-up"/>
    <x v="2"/>
    <n v="2023"/>
    <s v="May"/>
  </r>
  <r>
    <s v="A076"/>
    <s v="P044"/>
    <s v="D002"/>
    <d v="2023-11-27T00:00:00"/>
    <d v="1899-12-30T12:00:00"/>
    <s v="Therapy"/>
    <x v="2"/>
    <n v="2023"/>
    <s v="November"/>
  </r>
  <r>
    <s v="A077"/>
    <s v="P029"/>
    <s v="D010"/>
    <d v="2023-12-14T00:00:00"/>
    <d v="1899-12-30T17:15:00"/>
    <s v="Checkup"/>
    <x v="3"/>
    <n v="2023"/>
    <s v="December"/>
  </r>
  <r>
    <s v="A078"/>
    <s v="P013"/>
    <s v="D008"/>
    <d v="2023-09-17T00:00:00"/>
    <d v="1899-12-30T11:15:00"/>
    <s v="Consultation"/>
    <x v="1"/>
    <n v="2023"/>
    <s v="September"/>
  </r>
  <r>
    <s v="A079"/>
    <s v="P012"/>
    <s v="D002"/>
    <d v="2023-12-26T00:00:00"/>
    <d v="1899-12-30T14:00:00"/>
    <s v="Follow-up"/>
    <x v="2"/>
    <n v="2023"/>
    <s v="December"/>
  </r>
  <r>
    <s v="A080"/>
    <s v="P031"/>
    <s v="D005"/>
    <d v="2023-06-26T00:00:00"/>
    <d v="1899-12-30T08:30:00"/>
    <s v="Consultation"/>
    <x v="0"/>
    <n v="2023"/>
    <s v="June"/>
  </r>
  <r>
    <s v="A081"/>
    <s v="P046"/>
    <s v="D007"/>
    <d v="2023-01-06T00:00:00"/>
    <d v="1899-12-30T13:30:00"/>
    <s v="Therapy"/>
    <x v="2"/>
    <n v="2023"/>
    <s v="January"/>
  </r>
  <r>
    <s v="A082"/>
    <s v="P002"/>
    <s v="D008"/>
    <d v="2023-01-20T00:00:00"/>
    <d v="1899-12-30T10:45:00"/>
    <s v="Follow-up"/>
    <x v="0"/>
    <n v="2023"/>
    <s v="January"/>
  </r>
  <r>
    <s v="A083"/>
    <s v="P050"/>
    <s v="D001"/>
    <d v="2023-11-07T00:00:00"/>
    <d v="1899-12-30T12:30:00"/>
    <s v="Emergency"/>
    <x v="3"/>
    <n v="2023"/>
    <s v="November"/>
  </r>
  <r>
    <s v="A084"/>
    <s v="P035"/>
    <s v="D006"/>
    <d v="2023-05-31T00:00:00"/>
    <d v="1899-12-30T16:00:00"/>
    <s v="Consultation"/>
    <x v="0"/>
    <n v="2023"/>
    <s v="May"/>
  </r>
  <r>
    <s v="A085"/>
    <s v="P023"/>
    <s v="D001"/>
    <d v="2023-02-18T00:00:00"/>
    <d v="1899-12-30T16:15:00"/>
    <s v="Follow-up"/>
    <x v="2"/>
    <n v="2023"/>
    <s v="February"/>
  </r>
  <r>
    <s v="A086"/>
    <s v="P017"/>
    <s v="D002"/>
    <d v="2023-10-29T00:00:00"/>
    <d v="1899-12-30T11:00:00"/>
    <s v="Consultation"/>
    <x v="2"/>
    <n v="2023"/>
    <s v="October"/>
  </r>
  <r>
    <s v="A087"/>
    <s v="P026"/>
    <s v="D001"/>
    <d v="2023-10-19T00:00:00"/>
    <d v="1899-12-30T12:15:00"/>
    <s v="Follow-up"/>
    <x v="2"/>
    <n v="2023"/>
    <s v="October"/>
  </r>
  <r>
    <s v="A088"/>
    <s v="P008"/>
    <s v="D005"/>
    <d v="2023-05-02T00:00:00"/>
    <d v="1899-12-30T16:30:00"/>
    <s v="Checkup"/>
    <x v="3"/>
    <n v="2023"/>
    <s v="May"/>
  </r>
  <r>
    <s v="A089"/>
    <s v="P029"/>
    <s v="D010"/>
    <d v="2023-02-14T00:00:00"/>
    <d v="1899-12-30T11:00:00"/>
    <s v="Consultation"/>
    <x v="3"/>
    <n v="2023"/>
    <s v="February"/>
  </r>
  <r>
    <s v="A090"/>
    <s v="P026"/>
    <s v="D009"/>
    <d v="2023-06-01T00:00:00"/>
    <d v="1899-12-30T17:30:00"/>
    <s v="Emergency"/>
    <x v="1"/>
    <n v="2023"/>
    <s v="June"/>
  </r>
  <r>
    <s v="A091"/>
    <s v="P010"/>
    <s v="D006"/>
    <d v="2023-06-11T00:00:00"/>
    <d v="1899-12-30T13:15:00"/>
    <s v="Emergency"/>
    <x v="2"/>
    <n v="2023"/>
    <s v="June"/>
  </r>
  <r>
    <s v="A092"/>
    <s v="P026"/>
    <s v="D001"/>
    <d v="2023-01-30T00:00:00"/>
    <d v="1899-12-30T14:15:00"/>
    <s v="Therapy"/>
    <x v="0"/>
    <n v="2023"/>
    <s v="January"/>
  </r>
  <r>
    <s v="A093"/>
    <s v="P034"/>
    <s v="D001"/>
    <d v="2023-04-09T00:00:00"/>
    <d v="1899-12-30T09:30:00"/>
    <s v="Follow-up"/>
    <x v="3"/>
    <n v="2023"/>
    <s v="April"/>
  </r>
  <r>
    <s v="A094"/>
    <s v="P041"/>
    <s v="D002"/>
    <d v="2023-04-08T00:00:00"/>
    <d v="1899-12-30T08:45:00"/>
    <s v="Consultation"/>
    <x v="2"/>
    <n v="2023"/>
    <s v="April"/>
  </r>
  <r>
    <s v="A095"/>
    <s v="P007"/>
    <s v="D009"/>
    <d v="2023-05-09T00:00:00"/>
    <d v="1899-12-30T10:15:00"/>
    <s v="Therapy"/>
    <x v="2"/>
    <n v="2023"/>
    <s v="May"/>
  </r>
  <r>
    <s v="A096"/>
    <s v="P004"/>
    <s v="D003"/>
    <d v="2023-07-07T00:00:00"/>
    <d v="1899-12-30T15:00:00"/>
    <s v="Consultation"/>
    <x v="3"/>
    <n v="2023"/>
    <s v="July"/>
  </r>
  <r>
    <s v="A097"/>
    <s v="P050"/>
    <s v="D001"/>
    <d v="2023-05-06T00:00:00"/>
    <d v="1899-12-30T14:45:00"/>
    <s v="Follow-up"/>
    <x v="1"/>
    <n v="2023"/>
    <s v="May"/>
  </r>
  <r>
    <s v="A098"/>
    <s v="P045"/>
    <s v="D005"/>
    <d v="2023-03-17T00:00:00"/>
    <d v="1899-12-30T13:00:00"/>
    <s v="Emergency"/>
    <x v="3"/>
    <n v="2023"/>
    <s v="March"/>
  </r>
  <r>
    <s v="A099"/>
    <s v="P011"/>
    <s v="D007"/>
    <d v="2023-07-04T00:00:00"/>
    <d v="1899-12-30T15:00:00"/>
    <s v="Checkup"/>
    <x v="3"/>
    <n v="2023"/>
    <s v="July"/>
  </r>
  <r>
    <s v="A100"/>
    <s v="P029"/>
    <s v="D006"/>
    <d v="2023-03-02T00:00:00"/>
    <d v="1899-12-30T08:00:00"/>
    <s v="Emergency"/>
    <x v="0"/>
    <n v="2023"/>
    <s v="March"/>
  </r>
  <r>
    <s v="A101"/>
    <s v="P036"/>
    <s v="D001"/>
    <d v="2023-09-21T00:00:00"/>
    <d v="1899-12-30T13:15:00"/>
    <s v="Therapy"/>
    <x v="0"/>
    <n v="2023"/>
    <s v="September"/>
  </r>
  <r>
    <s v="A102"/>
    <s v="P025"/>
    <s v="D005"/>
    <d v="2023-10-25T00:00:00"/>
    <d v="1899-12-30T09:00:00"/>
    <s v="Checkup"/>
    <x v="1"/>
    <n v="2023"/>
    <s v="October"/>
  </r>
  <r>
    <s v="A103"/>
    <s v="P021"/>
    <s v="D005"/>
    <d v="2023-01-24T00:00:00"/>
    <d v="1899-12-30T08:30:00"/>
    <s v="Therapy"/>
    <x v="2"/>
    <n v="2023"/>
    <s v="January"/>
  </r>
  <r>
    <s v="A104"/>
    <s v="P036"/>
    <s v="D006"/>
    <d v="2023-04-18T00:00:00"/>
    <d v="1899-12-30T08:45:00"/>
    <s v="Follow-up"/>
    <x v="3"/>
    <n v="2023"/>
    <s v="April"/>
  </r>
  <r>
    <s v="A105"/>
    <s v="P010"/>
    <s v="D003"/>
    <d v="2023-08-14T00:00:00"/>
    <d v="1899-12-30T16:00:00"/>
    <s v="Checkup"/>
    <x v="1"/>
    <n v="2023"/>
    <s v="August"/>
  </r>
  <r>
    <s v="A106"/>
    <s v="P037"/>
    <s v="D005"/>
    <d v="2023-10-29T00:00:00"/>
    <d v="1899-12-30T11:15:00"/>
    <s v="Therapy"/>
    <x v="0"/>
    <n v="2023"/>
    <s v="October"/>
  </r>
  <r>
    <s v="A107"/>
    <s v="P009"/>
    <s v="D007"/>
    <d v="2023-04-17T00:00:00"/>
    <d v="1899-12-30T13:45:00"/>
    <s v="Follow-up"/>
    <x v="3"/>
    <n v="2023"/>
    <s v="April"/>
  </r>
  <r>
    <s v="A108"/>
    <s v="P024"/>
    <s v="D005"/>
    <d v="2023-04-21T00:00:00"/>
    <d v="1899-12-30T15:00:00"/>
    <s v="Emergency"/>
    <x v="2"/>
    <n v="2023"/>
    <s v="April"/>
  </r>
  <r>
    <s v="A109"/>
    <s v="P035"/>
    <s v="D005"/>
    <d v="2023-07-29T00:00:00"/>
    <d v="1899-12-30T14:00:00"/>
    <s v="Follow-up"/>
    <x v="0"/>
    <n v="2023"/>
    <s v="July"/>
  </r>
  <r>
    <s v="A110"/>
    <s v="P049"/>
    <s v="D005"/>
    <d v="2023-07-19T00:00:00"/>
    <d v="1899-12-30T14:30:00"/>
    <s v="Consultation"/>
    <x v="0"/>
    <n v="2023"/>
    <s v="July"/>
  </r>
  <r>
    <s v="A111"/>
    <s v="P035"/>
    <s v="D010"/>
    <d v="2023-05-22T00:00:00"/>
    <d v="1899-12-30T15:30:00"/>
    <s v="Follow-up"/>
    <x v="0"/>
    <n v="2023"/>
    <s v="May"/>
  </r>
  <r>
    <s v="A112"/>
    <s v="P048"/>
    <s v="D010"/>
    <d v="2023-01-11T00:00:00"/>
    <d v="1899-12-30T08:00:00"/>
    <s v="Follow-up"/>
    <x v="1"/>
    <n v="2023"/>
    <s v="January"/>
  </r>
  <r>
    <s v="A113"/>
    <s v="P036"/>
    <s v="D003"/>
    <d v="2023-11-24T00:00:00"/>
    <d v="1899-12-30T15:30:00"/>
    <s v="Consultation"/>
    <x v="2"/>
    <n v="2023"/>
    <s v="November"/>
  </r>
  <r>
    <s v="A114"/>
    <s v="P018"/>
    <s v="D001"/>
    <d v="2023-08-08T00:00:00"/>
    <d v="1899-12-30T09:00:00"/>
    <s v="Therapy"/>
    <x v="3"/>
    <n v="2023"/>
    <s v="August"/>
  </r>
  <r>
    <s v="A115"/>
    <s v="P049"/>
    <s v="D005"/>
    <d v="2023-10-25T00:00:00"/>
    <d v="1899-12-30T10:30:00"/>
    <s v="Therapy"/>
    <x v="1"/>
    <n v="2023"/>
    <s v="October"/>
  </r>
  <r>
    <s v="A116"/>
    <s v="P039"/>
    <s v="D009"/>
    <d v="2023-07-07T00:00:00"/>
    <d v="1899-12-30T09:15:00"/>
    <s v="Follow-up"/>
    <x v="1"/>
    <n v="2023"/>
    <s v="July"/>
  </r>
  <r>
    <s v="A117"/>
    <s v="P032"/>
    <s v="D001"/>
    <d v="2023-06-20T00:00:00"/>
    <d v="1899-12-30T13:45:00"/>
    <s v="Consultation"/>
    <x v="1"/>
    <n v="2023"/>
    <s v="June"/>
  </r>
  <r>
    <s v="A118"/>
    <s v="P024"/>
    <s v="D003"/>
    <d v="2023-08-09T00:00:00"/>
    <d v="1899-12-30T08:15:00"/>
    <s v="Consultation"/>
    <x v="0"/>
    <n v="2023"/>
    <s v="August"/>
  </r>
  <r>
    <s v="A119"/>
    <s v="P023"/>
    <s v="D004"/>
    <d v="2023-12-18T00:00:00"/>
    <d v="1899-12-30T13:30:00"/>
    <s v="Emergency"/>
    <x v="2"/>
    <n v="2023"/>
    <s v="December"/>
  </r>
  <r>
    <s v="A120"/>
    <s v="P032"/>
    <s v="D001"/>
    <d v="2023-12-08T00:00:00"/>
    <d v="1899-12-30T11:00:00"/>
    <s v="Therapy"/>
    <x v="1"/>
    <n v="2023"/>
    <s v="December"/>
  </r>
  <r>
    <s v="A121"/>
    <s v="P037"/>
    <s v="D001"/>
    <d v="2023-04-07T00:00:00"/>
    <d v="1899-12-30T15:00:00"/>
    <s v="Checkup"/>
    <x v="3"/>
    <n v="2023"/>
    <s v="April"/>
  </r>
  <r>
    <s v="A122"/>
    <s v="P012"/>
    <s v="D008"/>
    <d v="2023-07-11T00:00:00"/>
    <d v="1899-12-30T14:30:00"/>
    <s v="Therapy"/>
    <x v="2"/>
    <n v="2023"/>
    <s v="July"/>
  </r>
  <r>
    <s v="A123"/>
    <s v="P049"/>
    <s v="D002"/>
    <d v="2023-02-28T00:00:00"/>
    <d v="1899-12-30T10:45:00"/>
    <s v="Therapy"/>
    <x v="3"/>
    <n v="2023"/>
    <s v="February"/>
  </r>
  <r>
    <s v="A124"/>
    <s v="P013"/>
    <s v="D008"/>
    <d v="2023-03-16T00:00:00"/>
    <d v="1899-12-30T17:15:00"/>
    <s v="Emergency"/>
    <x v="2"/>
    <n v="2023"/>
    <s v="March"/>
  </r>
  <r>
    <s v="A125"/>
    <s v="P023"/>
    <s v="D007"/>
    <d v="2023-02-18T00:00:00"/>
    <d v="1899-12-30T10:15:00"/>
    <s v="Checkup"/>
    <x v="3"/>
    <n v="2023"/>
    <s v="February"/>
  </r>
  <r>
    <s v="A126"/>
    <s v="P025"/>
    <s v="D010"/>
    <d v="2023-11-02T00:00:00"/>
    <d v="1899-12-30T09:45:00"/>
    <s v="Emergency"/>
    <x v="0"/>
    <n v="2023"/>
    <s v="November"/>
  </r>
  <r>
    <s v="A127"/>
    <s v="P035"/>
    <s v="D010"/>
    <d v="2023-11-13T00:00:00"/>
    <d v="1899-12-30T08:30:00"/>
    <s v="Checkup"/>
    <x v="1"/>
    <n v="2023"/>
    <s v="November"/>
  </r>
  <r>
    <s v="A128"/>
    <s v="P041"/>
    <s v="D002"/>
    <d v="2023-04-15T00:00:00"/>
    <d v="1899-12-30T14:45:00"/>
    <s v="Follow-up"/>
    <x v="3"/>
    <n v="2023"/>
    <s v="April"/>
  </r>
  <r>
    <s v="A129"/>
    <s v="P030"/>
    <s v="D006"/>
    <d v="2023-08-25T00:00:00"/>
    <d v="1899-12-30T09:30:00"/>
    <s v="Checkup"/>
    <x v="2"/>
    <n v="2023"/>
    <s v="August"/>
  </r>
  <r>
    <s v="A130"/>
    <s v="P017"/>
    <s v="D006"/>
    <d v="2023-02-23T00:00:00"/>
    <d v="1899-12-30T15:00:00"/>
    <s v="Emergency"/>
    <x v="1"/>
    <n v="2023"/>
    <s v="February"/>
  </r>
  <r>
    <s v="A131"/>
    <s v="P049"/>
    <s v="D003"/>
    <d v="2023-05-11T00:00:00"/>
    <d v="1899-12-30T16:30:00"/>
    <s v="Therapy"/>
    <x v="1"/>
    <n v="2023"/>
    <s v="May"/>
  </r>
  <r>
    <s v="A132"/>
    <s v="P020"/>
    <s v="D002"/>
    <d v="2023-07-26T00:00:00"/>
    <d v="1899-12-30T10:45:00"/>
    <s v="Checkup"/>
    <x v="2"/>
    <n v="2023"/>
    <s v="July"/>
  </r>
  <r>
    <s v="A133"/>
    <s v="P048"/>
    <s v="D001"/>
    <d v="2023-03-23T00:00:00"/>
    <d v="1899-12-30T14:30:00"/>
    <s v="Checkup"/>
    <x v="3"/>
    <n v="2023"/>
    <s v="March"/>
  </r>
  <r>
    <s v="A134"/>
    <s v="P025"/>
    <s v="D006"/>
    <d v="2023-10-17T00:00:00"/>
    <d v="1899-12-30T15:15:00"/>
    <s v="Consultation"/>
    <x v="0"/>
    <n v="2023"/>
    <s v="October"/>
  </r>
  <r>
    <s v="A135"/>
    <s v="P022"/>
    <s v="D005"/>
    <d v="2023-09-09T00:00:00"/>
    <d v="1899-12-30T16:30:00"/>
    <s v="Therapy"/>
    <x v="0"/>
    <n v="2023"/>
    <s v="September"/>
  </r>
  <r>
    <s v="A136"/>
    <s v="P013"/>
    <s v="D009"/>
    <d v="2023-05-13T00:00:00"/>
    <d v="1899-12-30T12:30:00"/>
    <s v="Follow-up"/>
    <x v="3"/>
    <n v="2023"/>
    <s v="May"/>
  </r>
  <r>
    <s v="A137"/>
    <s v="P019"/>
    <s v="D001"/>
    <d v="2023-10-25T00:00:00"/>
    <d v="1899-12-30T10:00:00"/>
    <s v="Emergency"/>
    <x v="1"/>
    <n v="2023"/>
    <s v="October"/>
  </r>
  <r>
    <s v="A138"/>
    <s v="P049"/>
    <s v="D007"/>
    <d v="2023-12-26T00:00:00"/>
    <d v="1899-12-30T15:15:00"/>
    <s v="Follow-up"/>
    <x v="1"/>
    <n v="2023"/>
    <s v="December"/>
  </r>
  <r>
    <s v="A139"/>
    <s v="P036"/>
    <s v="D005"/>
    <d v="2023-10-10T00:00:00"/>
    <d v="1899-12-30T10:45:00"/>
    <s v="Therapy"/>
    <x v="1"/>
    <n v="2023"/>
    <s v="October"/>
  </r>
  <r>
    <s v="A140"/>
    <s v="P012"/>
    <s v="D005"/>
    <d v="2023-02-05T00:00:00"/>
    <d v="1899-12-30T15:15:00"/>
    <s v="Checkup"/>
    <x v="1"/>
    <n v="2023"/>
    <s v="February"/>
  </r>
  <r>
    <s v="A141"/>
    <s v="P041"/>
    <s v="D002"/>
    <d v="2023-06-15T00:00:00"/>
    <d v="1899-12-30T15:15:00"/>
    <s v="Checkup"/>
    <x v="3"/>
    <n v="2023"/>
    <s v="June"/>
  </r>
  <r>
    <s v="A142"/>
    <s v="P019"/>
    <s v="D003"/>
    <d v="2023-11-01T00:00:00"/>
    <d v="1899-12-30T11:45:00"/>
    <s v="Therapy"/>
    <x v="1"/>
    <n v="2023"/>
    <s v="November"/>
  </r>
  <r>
    <s v="A143"/>
    <s v="P012"/>
    <s v="D007"/>
    <d v="2023-09-21T00:00:00"/>
    <d v="1899-12-30T12:15:00"/>
    <s v="Checkup"/>
    <x v="2"/>
    <n v="2023"/>
    <s v="September"/>
  </r>
  <r>
    <s v="A144"/>
    <s v="P009"/>
    <s v="D006"/>
    <d v="2023-08-16T00:00:00"/>
    <d v="1899-12-30T12:15:00"/>
    <s v="Checkup"/>
    <x v="1"/>
    <n v="2023"/>
    <s v="August"/>
  </r>
  <r>
    <s v="A145"/>
    <s v="P007"/>
    <s v="D002"/>
    <d v="2023-11-11T00:00:00"/>
    <d v="1899-12-30T14:45:00"/>
    <s v="Checkup"/>
    <x v="0"/>
    <n v="2023"/>
    <s v="November"/>
  </r>
  <r>
    <s v="A146"/>
    <s v="P028"/>
    <s v="D006"/>
    <d v="2023-01-05T00:00:00"/>
    <d v="1899-12-30T09:30:00"/>
    <s v="Emergency"/>
    <x v="1"/>
    <n v="2023"/>
    <s v="January"/>
  </r>
  <r>
    <s v="A147"/>
    <s v="P014"/>
    <s v="D002"/>
    <d v="2023-11-13T00:00:00"/>
    <d v="1899-12-30T17:30:00"/>
    <s v="Emergency"/>
    <x v="3"/>
    <n v="2023"/>
    <s v="November"/>
  </r>
  <r>
    <s v="A148"/>
    <s v="P031"/>
    <s v="D002"/>
    <d v="2023-12-06T00:00:00"/>
    <d v="1899-12-30T08:30:00"/>
    <s v="Consultation"/>
    <x v="0"/>
    <n v="2023"/>
    <s v="December"/>
  </r>
  <r>
    <s v="A149"/>
    <s v="P019"/>
    <s v="D002"/>
    <d v="2023-07-26T00:00:00"/>
    <d v="1899-12-30T12:30:00"/>
    <s v="Follow-up"/>
    <x v="3"/>
    <n v="2023"/>
    <s v="July"/>
  </r>
  <r>
    <s v="A150"/>
    <s v="P047"/>
    <s v="D003"/>
    <d v="2023-08-16T00:00:00"/>
    <d v="1899-12-30T10:45:00"/>
    <s v="Therapy"/>
    <x v="3"/>
    <n v="2023"/>
    <s v="August"/>
  </r>
  <r>
    <s v="A151"/>
    <s v="P016"/>
    <s v="D002"/>
    <d v="2023-01-28T00:00:00"/>
    <d v="1899-12-30T09:15:00"/>
    <s v="Therapy"/>
    <x v="0"/>
    <n v="2023"/>
    <s v="January"/>
  </r>
  <r>
    <s v="A152"/>
    <s v="P005"/>
    <s v="D004"/>
    <d v="2023-04-14T00:00:00"/>
    <d v="1899-12-30T08:30:00"/>
    <s v="Therapy"/>
    <x v="3"/>
    <n v="2023"/>
    <s v="April"/>
  </r>
  <r>
    <s v="A153"/>
    <s v="P035"/>
    <s v="D009"/>
    <d v="2023-07-08T00:00:00"/>
    <d v="1899-12-30T12:45:00"/>
    <s v="Consultation"/>
    <x v="3"/>
    <n v="2023"/>
    <s v="July"/>
  </r>
  <r>
    <s v="A154"/>
    <s v="P012"/>
    <s v="D006"/>
    <d v="2023-03-06T00:00:00"/>
    <d v="1899-12-30T17:30:00"/>
    <s v="Emergency"/>
    <x v="1"/>
    <n v="2023"/>
    <s v="March"/>
  </r>
  <r>
    <s v="A155"/>
    <s v="P025"/>
    <s v="D001"/>
    <d v="2023-01-03T00:00:00"/>
    <d v="1899-12-30T09:30:00"/>
    <s v="Consultation"/>
    <x v="2"/>
    <n v="2023"/>
    <s v="January"/>
  </r>
  <r>
    <s v="A156"/>
    <s v="P021"/>
    <s v="D008"/>
    <d v="2023-11-22T00:00:00"/>
    <d v="1899-12-30T14:30:00"/>
    <s v="Therapy"/>
    <x v="3"/>
    <n v="2023"/>
    <s v="November"/>
  </r>
  <r>
    <s v="A157"/>
    <s v="P036"/>
    <s v="D007"/>
    <d v="2023-05-12T00:00:00"/>
    <d v="1899-12-30T11:00:00"/>
    <s v="Follow-up"/>
    <x v="3"/>
    <n v="2023"/>
    <s v="May"/>
  </r>
  <r>
    <s v="A158"/>
    <s v="P023"/>
    <s v="D010"/>
    <d v="2023-07-12T00:00:00"/>
    <d v="1899-12-30T12:15:00"/>
    <s v="Checkup"/>
    <x v="3"/>
    <n v="2023"/>
    <s v="July"/>
  </r>
  <r>
    <s v="A159"/>
    <s v="P016"/>
    <s v="D003"/>
    <d v="2023-04-08T00:00:00"/>
    <d v="1899-12-30T16:15:00"/>
    <s v="Emergency"/>
    <x v="1"/>
    <n v="2023"/>
    <s v="April"/>
  </r>
  <r>
    <s v="A160"/>
    <s v="P039"/>
    <s v="D001"/>
    <d v="2023-12-17T00:00:00"/>
    <d v="1899-12-30T12:45:00"/>
    <s v="Emergency"/>
    <x v="2"/>
    <n v="2023"/>
    <s v="December"/>
  </r>
  <r>
    <s v="A161"/>
    <s v="P045"/>
    <s v="D005"/>
    <d v="2023-06-17T00:00:00"/>
    <d v="1899-12-30T10:45:00"/>
    <s v="Consultation"/>
    <x v="0"/>
    <n v="2023"/>
    <s v="June"/>
  </r>
  <r>
    <s v="A162"/>
    <s v="P042"/>
    <s v="D004"/>
    <d v="2023-01-01T00:00:00"/>
    <d v="1899-12-30T17:15:00"/>
    <s v="Emergency"/>
    <x v="1"/>
    <n v="2023"/>
    <s v="January"/>
  </r>
  <r>
    <s v="A163"/>
    <s v="P039"/>
    <s v="D010"/>
    <d v="2023-06-27T00:00:00"/>
    <d v="1899-12-30T15:00:00"/>
    <s v="Therapy"/>
    <x v="1"/>
    <n v="2023"/>
    <s v="June"/>
  </r>
  <r>
    <s v="A164"/>
    <s v="P014"/>
    <s v="D008"/>
    <d v="2023-07-28T00:00:00"/>
    <d v="1899-12-30T17:15:00"/>
    <s v="Therapy"/>
    <x v="2"/>
    <n v="2023"/>
    <s v="July"/>
  </r>
  <r>
    <s v="A165"/>
    <s v="P031"/>
    <s v="D001"/>
    <d v="2023-04-04T00:00:00"/>
    <d v="1899-12-30T15:30:00"/>
    <s v="Consultation"/>
    <x v="2"/>
    <n v="2023"/>
    <s v="April"/>
  </r>
  <r>
    <s v="A166"/>
    <s v="P005"/>
    <s v="D010"/>
    <d v="2023-01-12T00:00:00"/>
    <d v="1899-12-30T14:45:00"/>
    <s v="Therapy"/>
    <x v="1"/>
    <n v="2023"/>
    <s v="January"/>
  </r>
  <r>
    <s v="A167"/>
    <s v="P035"/>
    <s v="D001"/>
    <d v="2023-11-15T00:00:00"/>
    <d v="1899-12-30T08:15:00"/>
    <s v="Follow-up"/>
    <x v="0"/>
    <n v="2023"/>
    <s v="November"/>
  </r>
  <r>
    <s v="A168"/>
    <s v="P023"/>
    <s v="D004"/>
    <d v="2023-09-29T00:00:00"/>
    <d v="1899-12-30T10:00:00"/>
    <s v="Consultation"/>
    <x v="1"/>
    <n v="2023"/>
    <s v="September"/>
  </r>
  <r>
    <s v="A169"/>
    <s v="P029"/>
    <s v="D008"/>
    <d v="2023-07-24T00:00:00"/>
    <d v="1899-12-30T16:45:00"/>
    <s v="Follow-up"/>
    <x v="2"/>
    <n v="2023"/>
    <s v="July"/>
  </r>
  <r>
    <s v="A170"/>
    <s v="P043"/>
    <s v="D005"/>
    <d v="2023-03-03T00:00:00"/>
    <d v="1899-12-30T09:00:00"/>
    <s v="Checkup"/>
    <x v="0"/>
    <n v="2023"/>
    <s v="March"/>
  </r>
  <r>
    <s v="A171"/>
    <s v="P011"/>
    <s v="D002"/>
    <d v="2023-04-18T00:00:00"/>
    <d v="1899-12-30T16:30:00"/>
    <s v="Follow-up"/>
    <x v="2"/>
    <n v="2023"/>
    <s v="April"/>
  </r>
  <r>
    <s v="A172"/>
    <s v="P018"/>
    <s v="D006"/>
    <d v="2023-03-09T00:00:00"/>
    <d v="1899-12-30T16:15:00"/>
    <s v="Checkup"/>
    <x v="0"/>
    <n v="2023"/>
    <s v="March"/>
  </r>
  <r>
    <s v="A173"/>
    <s v="P047"/>
    <s v="D005"/>
    <d v="2023-06-04T00:00:00"/>
    <d v="1899-12-30T13:30:00"/>
    <s v="Checkup"/>
    <x v="3"/>
    <n v="2023"/>
    <s v="June"/>
  </r>
  <r>
    <s v="A174"/>
    <s v="P012"/>
    <s v="D002"/>
    <d v="2023-10-31T00:00:00"/>
    <d v="1899-12-30T11:15:00"/>
    <s v="Follow-up"/>
    <x v="2"/>
    <n v="2023"/>
    <s v="October"/>
  </r>
  <r>
    <s v="A175"/>
    <s v="P009"/>
    <s v="D003"/>
    <d v="2023-10-22T00:00:00"/>
    <d v="1899-12-30T17:00:00"/>
    <s v="Consultation"/>
    <x v="2"/>
    <n v="2023"/>
    <s v="October"/>
  </r>
  <r>
    <s v="A176"/>
    <s v="P010"/>
    <s v="D009"/>
    <d v="2023-04-26T00:00:00"/>
    <d v="1899-12-30T09:30:00"/>
    <s v="Therapy"/>
    <x v="1"/>
    <n v="2023"/>
    <s v="April"/>
  </r>
  <r>
    <s v="A177"/>
    <s v="P044"/>
    <s v="D007"/>
    <d v="2023-08-16T00:00:00"/>
    <d v="1899-12-30T12:30:00"/>
    <s v="Therapy"/>
    <x v="2"/>
    <n v="2023"/>
    <s v="August"/>
  </r>
  <r>
    <s v="A178"/>
    <s v="P017"/>
    <s v="D007"/>
    <d v="2023-01-17T00:00:00"/>
    <d v="1899-12-30T13:15:00"/>
    <s v="Checkup"/>
    <x v="2"/>
    <n v="2023"/>
    <s v="January"/>
  </r>
  <r>
    <s v="A179"/>
    <s v="P038"/>
    <s v="D006"/>
    <d v="2023-03-08T00:00:00"/>
    <d v="1899-12-30T12:15:00"/>
    <s v="Checkup"/>
    <x v="3"/>
    <n v="2023"/>
    <s v="March"/>
  </r>
  <r>
    <s v="A180"/>
    <s v="P007"/>
    <s v="D008"/>
    <d v="2023-01-07T00:00:00"/>
    <d v="1899-12-30T11:00:00"/>
    <s v="Consultation"/>
    <x v="2"/>
    <n v="2023"/>
    <s v="January"/>
  </r>
  <r>
    <s v="A181"/>
    <s v="P046"/>
    <s v="D004"/>
    <d v="2023-09-03T00:00:00"/>
    <d v="1899-12-30T13:15:00"/>
    <s v="Emergency"/>
    <x v="3"/>
    <n v="2023"/>
    <s v="September"/>
  </r>
  <r>
    <s v="A182"/>
    <s v="P013"/>
    <s v="D008"/>
    <d v="2023-04-12T00:00:00"/>
    <d v="1899-12-30T08:00:00"/>
    <s v="Follow-up"/>
    <x v="3"/>
    <n v="2023"/>
    <s v="April"/>
  </r>
  <r>
    <s v="A183"/>
    <s v="P040"/>
    <s v="D004"/>
    <d v="2023-02-03T00:00:00"/>
    <d v="1899-12-30T16:15:00"/>
    <s v="Checkup"/>
    <x v="3"/>
    <n v="2023"/>
    <s v="February"/>
  </r>
  <r>
    <s v="A184"/>
    <s v="P042"/>
    <s v="D008"/>
    <d v="2023-02-26T00:00:00"/>
    <d v="1899-12-30T17:45:00"/>
    <s v="Therapy"/>
    <x v="3"/>
    <n v="2023"/>
    <s v="February"/>
  </r>
  <r>
    <s v="A185"/>
    <s v="P009"/>
    <s v="D009"/>
    <d v="2023-03-21T00:00:00"/>
    <d v="1899-12-30T14:00:00"/>
    <s v="Consultation"/>
    <x v="0"/>
    <n v="2023"/>
    <s v="March"/>
  </r>
  <r>
    <s v="A186"/>
    <s v="P050"/>
    <s v="D003"/>
    <d v="2023-03-27T00:00:00"/>
    <d v="1899-12-30T17:15:00"/>
    <s v="Follow-up"/>
    <x v="1"/>
    <n v="2023"/>
    <s v="March"/>
  </r>
  <r>
    <s v="A187"/>
    <s v="P027"/>
    <s v="D003"/>
    <d v="2023-02-13T00:00:00"/>
    <d v="1899-12-30T12:30:00"/>
    <s v="Consultation"/>
    <x v="0"/>
    <n v="2023"/>
    <s v="February"/>
  </r>
  <r>
    <s v="A188"/>
    <s v="P002"/>
    <s v="D002"/>
    <d v="2023-04-12T00:00:00"/>
    <d v="1899-12-30T16:30:00"/>
    <s v="Follow-up"/>
    <x v="2"/>
    <n v="2023"/>
    <s v="April"/>
  </r>
  <r>
    <s v="A189"/>
    <s v="P005"/>
    <s v="D010"/>
    <d v="2023-10-05T00:00:00"/>
    <d v="1899-12-30T13:30:00"/>
    <s v="Follow-up"/>
    <x v="0"/>
    <n v="2023"/>
    <s v="October"/>
  </r>
  <r>
    <s v="A190"/>
    <s v="P029"/>
    <s v="D003"/>
    <d v="2023-11-16T00:00:00"/>
    <d v="1899-12-30T15:15:00"/>
    <s v="Checkup"/>
    <x v="0"/>
    <n v="2023"/>
    <s v="November"/>
  </r>
  <r>
    <s v="A191"/>
    <s v="P037"/>
    <s v="D003"/>
    <d v="2023-04-12T00:00:00"/>
    <d v="1899-12-30T16:00:00"/>
    <s v="Consultation"/>
    <x v="2"/>
    <n v="2023"/>
    <s v="April"/>
  </r>
  <r>
    <s v="A192"/>
    <s v="P038"/>
    <s v="D005"/>
    <d v="2023-08-31T00:00:00"/>
    <d v="1899-12-30T14:15:00"/>
    <s v="Consultation"/>
    <x v="2"/>
    <n v="2023"/>
    <s v="August"/>
  </r>
  <r>
    <s v="A193"/>
    <s v="P019"/>
    <s v="D005"/>
    <d v="2023-09-15T00:00:00"/>
    <d v="1899-12-30T08:15:00"/>
    <s v="Therapy"/>
    <x v="2"/>
    <n v="2023"/>
    <s v="September"/>
  </r>
  <r>
    <s v="A194"/>
    <s v="P008"/>
    <s v="D002"/>
    <d v="2023-04-06T00:00:00"/>
    <d v="1899-12-30T12:45:00"/>
    <s v="Therapy"/>
    <x v="0"/>
    <n v="2023"/>
    <s v="April"/>
  </r>
  <r>
    <s v="A195"/>
    <s v="P048"/>
    <s v="D010"/>
    <d v="2023-08-19T00:00:00"/>
    <d v="1899-12-30T17:15:00"/>
    <s v="Checkup"/>
    <x v="0"/>
    <n v="2023"/>
    <s v="August"/>
  </r>
  <r>
    <s v="A196"/>
    <s v="P045"/>
    <s v="D006"/>
    <d v="2023-10-26T00:00:00"/>
    <d v="1899-12-30T09:45:00"/>
    <s v="Checkup"/>
    <x v="2"/>
    <n v="2023"/>
    <s v="October"/>
  </r>
  <r>
    <s v="A197"/>
    <s v="P001"/>
    <s v="D005"/>
    <d v="2023-04-01T00:00:00"/>
    <d v="1899-12-30T13:30:00"/>
    <s v="Emergency"/>
    <x v="1"/>
    <n v="2023"/>
    <s v="April"/>
  </r>
  <r>
    <s v="A198"/>
    <s v="P022"/>
    <s v="D006"/>
    <d v="2023-05-15T00:00:00"/>
    <d v="1899-12-30T08:30:00"/>
    <s v="Therapy"/>
    <x v="1"/>
    <n v="2023"/>
    <s v="May"/>
  </r>
  <r>
    <s v="A199"/>
    <s v="P017"/>
    <s v="D001"/>
    <d v="2023-05-01T00:00:00"/>
    <d v="1899-12-30T12:45:00"/>
    <s v="Follow-up"/>
    <x v="3"/>
    <n v="2023"/>
    <s v="May"/>
  </r>
  <r>
    <s v="A200"/>
    <s v="P007"/>
    <s v="D005"/>
    <d v="2023-12-30T00:00:00"/>
    <d v="1899-12-30T10:15:00"/>
    <s v="Consultation"/>
    <x v="2"/>
    <n v="2023"/>
    <s v="Decemb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T001"/>
    <s v="A001"/>
    <x v="0"/>
    <s v="Basic screening"/>
    <n v="3941.97"/>
    <d v="2023-08-09T00:00:00"/>
  </r>
  <r>
    <s v="T002"/>
    <s v="A002"/>
    <x v="1"/>
    <s v="Advanced protocol"/>
    <n v="4158.4399999999996"/>
    <d v="2023-06-09T00:00:00"/>
  </r>
  <r>
    <s v="T003"/>
    <s v="A003"/>
    <x v="1"/>
    <s v="Standard procedure"/>
    <n v="3731.55"/>
    <d v="2023-06-28T00:00:00"/>
  </r>
  <r>
    <s v="T004"/>
    <s v="A004"/>
    <x v="1"/>
    <s v="Basic screening"/>
    <n v="4799.8599999999997"/>
    <d v="2023-09-01T00:00:00"/>
  </r>
  <r>
    <s v="T005"/>
    <s v="A005"/>
    <x v="2"/>
    <s v="Standard procedure"/>
    <n v="582.04999999999995"/>
    <d v="2023-07-06T00:00:00"/>
  </r>
  <r>
    <s v="T006"/>
    <s v="A006"/>
    <x v="0"/>
    <s v="Standard procedure"/>
    <n v="1381"/>
    <d v="2023-06-19T00:00:00"/>
  </r>
  <r>
    <s v="T007"/>
    <s v="A007"/>
    <x v="0"/>
    <s v="Advanced protocol"/>
    <n v="534.03"/>
    <d v="2023-04-09T00:00:00"/>
  </r>
  <r>
    <s v="T008"/>
    <s v="A008"/>
    <x v="3"/>
    <s v="Basic screening"/>
    <n v="3413.64"/>
    <d v="2023-05-24T00:00:00"/>
  </r>
  <r>
    <s v="T009"/>
    <s v="A009"/>
    <x v="3"/>
    <s v="Standard procedure"/>
    <n v="4541.1400000000003"/>
    <d v="2023-03-05T00:00:00"/>
  </r>
  <r>
    <s v="T010"/>
    <s v="A010"/>
    <x v="3"/>
    <s v="Standard procedure"/>
    <n v="1595.67"/>
    <d v="2023-01-13T00:00:00"/>
  </r>
  <r>
    <s v="T011"/>
    <s v="A011"/>
    <x v="1"/>
    <s v="Basic screening"/>
    <n v="4671.66"/>
    <d v="2023-11-12T00:00:00"/>
  </r>
  <r>
    <s v="T012"/>
    <s v="A012"/>
    <x v="0"/>
    <s v="Standard procedure"/>
    <n v="771.2"/>
    <d v="2023-05-07T00:00:00"/>
  </r>
  <r>
    <s v="T013"/>
    <s v="A013"/>
    <x v="1"/>
    <s v="Standard procedure"/>
    <n v="4704.96"/>
    <d v="2023-08-16T00:00:00"/>
  </r>
  <r>
    <s v="T014"/>
    <s v="A014"/>
    <x v="2"/>
    <s v="Basic screening"/>
    <n v="2082.3000000000002"/>
    <d v="2023-05-25T00:00:00"/>
  </r>
  <r>
    <s v="T015"/>
    <s v="A015"/>
    <x v="3"/>
    <s v="Basic screening"/>
    <n v="956.39"/>
    <d v="2023-01-15T00:00:00"/>
  </r>
  <r>
    <s v="T016"/>
    <s v="A016"/>
    <x v="1"/>
    <s v="Basic screening"/>
    <n v="2686.42"/>
    <d v="2023-06-30T00:00:00"/>
  </r>
  <r>
    <s v="T017"/>
    <s v="A017"/>
    <x v="1"/>
    <s v="Basic screening"/>
    <n v="1655.49"/>
    <d v="2023-07-11T00:00:00"/>
  </r>
  <r>
    <s v="T018"/>
    <s v="A018"/>
    <x v="2"/>
    <s v="Advanced protocol"/>
    <n v="1781.93"/>
    <d v="2023-11-14T00:00:00"/>
  </r>
  <r>
    <s v="T019"/>
    <s v="A019"/>
    <x v="4"/>
    <s v="Basic screening"/>
    <n v="1882.8"/>
    <d v="2023-02-06T00:00:00"/>
  </r>
  <r>
    <s v="T020"/>
    <s v="A020"/>
    <x v="0"/>
    <s v="Advanced protocol"/>
    <n v="4113.62"/>
    <d v="2023-12-05T00:00:00"/>
  </r>
  <r>
    <s v="T021"/>
    <s v="A021"/>
    <x v="4"/>
    <s v="Advanced protocol"/>
    <n v="2926.23"/>
    <d v="2023-04-24T00:00:00"/>
  </r>
  <r>
    <s v="T022"/>
    <s v="A022"/>
    <x v="3"/>
    <s v="Advanced protocol"/>
    <n v="1900.88"/>
    <d v="2023-11-14T00:00:00"/>
  </r>
  <r>
    <s v="T023"/>
    <s v="A023"/>
    <x v="1"/>
    <s v="Standard procedure"/>
    <n v="3246.5"/>
    <d v="2023-05-09T00:00:00"/>
  </r>
  <r>
    <s v="T024"/>
    <s v="A024"/>
    <x v="2"/>
    <s v="Advanced protocol"/>
    <n v="3722.68"/>
    <d v="2023-06-21T00:00:00"/>
  </r>
  <r>
    <s v="T025"/>
    <s v="A025"/>
    <x v="2"/>
    <s v="Advanced protocol"/>
    <n v="1726.81"/>
    <d v="2023-02-25T00:00:00"/>
  </r>
  <r>
    <s v="T026"/>
    <s v="A026"/>
    <x v="0"/>
    <s v="Standard procedure"/>
    <n v="2360.9699999999998"/>
    <d v="2023-03-17T00:00:00"/>
  </r>
  <r>
    <s v="T027"/>
    <s v="A027"/>
    <x v="4"/>
    <s v="Standard procedure"/>
    <n v="1048.49"/>
    <d v="2023-11-14T00:00:00"/>
  </r>
  <r>
    <s v="T028"/>
    <s v="A028"/>
    <x v="0"/>
    <s v="Standard procedure"/>
    <n v="1315.17"/>
    <d v="2023-10-29T00:00:00"/>
  </r>
  <r>
    <s v="T029"/>
    <s v="A029"/>
    <x v="1"/>
    <s v="Basic screening"/>
    <n v="3565.03"/>
    <d v="2023-06-25T00:00:00"/>
  </r>
  <r>
    <s v="T030"/>
    <s v="A030"/>
    <x v="0"/>
    <s v="Standard procedure"/>
    <n v="1316.47"/>
    <d v="2023-08-29T00:00:00"/>
  </r>
  <r>
    <s v="T031"/>
    <s v="A031"/>
    <x v="2"/>
    <s v="Standard procedure"/>
    <n v="2863.24"/>
    <d v="2023-04-04T00:00:00"/>
  </r>
  <r>
    <s v="T032"/>
    <s v="A032"/>
    <x v="2"/>
    <s v="Advanced protocol"/>
    <n v="3690.71"/>
    <d v="2023-11-06T00:00:00"/>
  </r>
  <r>
    <s v="T033"/>
    <s v="A033"/>
    <x v="3"/>
    <s v="Standard procedure"/>
    <n v="980.95"/>
    <d v="2023-09-23T00:00:00"/>
  </r>
  <r>
    <s v="T034"/>
    <s v="A034"/>
    <x v="3"/>
    <s v="Basic screening"/>
    <n v="3052.9"/>
    <d v="2023-06-13T00:00:00"/>
  </r>
  <r>
    <s v="T035"/>
    <s v="A035"/>
    <x v="1"/>
    <s v="Standard procedure"/>
    <n v="1654.53"/>
    <d v="2023-04-18T00:00:00"/>
  </r>
  <r>
    <s v="T036"/>
    <s v="A036"/>
    <x v="4"/>
    <s v="Basic screening"/>
    <n v="4833.17"/>
    <d v="2023-01-08T00:00:00"/>
  </r>
  <r>
    <s v="T037"/>
    <s v="A037"/>
    <x v="0"/>
    <s v="Standard procedure"/>
    <n v="2675.96"/>
    <d v="2023-03-28T00:00:00"/>
  </r>
  <r>
    <s v="T038"/>
    <s v="A038"/>
    <x v="1"/>
    <s v="Standard procedure"/>
    <n v="4126.97"/>
    <d v="2023-02-23T00:00:00"/>
  </r>
  <r>
    <s v="T039"/>
    <s v="A039"/>
    <x v="3"/>
    <s v="Standard procedure"/>
    <n v="2976.02"/>
    <d v="2023-04-17T00:00:00"/>
  </r>
  <r>
    <s v="T040"/>
    <s v="A040"/>
    <x v="0"/>
    <s v="Standard procedure"/>
    <n v="695.36"/>
    <d v="2023-03-27T00:00:00"/>
  </r>
  <r>
    <s v="T041"/>
    <s v="A041"/>
    <x v="3"/>
    <s v="Basic screening"/>
    <n v="3349.18"/>
    <d v="2023-01-01T00:00:00"/>
  </r>
  <r>
    <s v="T042"/>
    <s v="A042"/>
    <x v="0"/>
    <s v="Basic screening"/>
    <n v="4781.32"/>
    <d v="2023-03-21T00:00:00"/>
  </r>
  <r>
    <s v="T043"/>
    <s v="A043"/>
    <x v="4"/>
    <s v="Advanced protocol"/>
    <n v="3207.25"/>
    <d v="2023-03-29T00:00:00"/>
  </r>
  <r>
    <s v="T044"/>
    <s v="A044"/>
    <x v="1"/>
    <s v="Basic screening"/>
    <n v="4186.3500000000004"/>
    <d v="2023-09-20T00:00:00"/>
  </r>
  <r>
    <s v="T045"/>
    <s v="A045"/>
    <x v="0"/>
    <s v="Standard procedure"/>
    <n v="4478.93"/>
    <d v="2023-09-28T00:00:00"/>
  </r>
  <r>
    <s v="T046"/>
    <s v="A046"/>
    <x v="2"/>
    <s v="Advanced protocol"/>
    <n v="1526.36"/>
    <d v="2023-12-20T00:00:00"/>
  </r>
  <r>
    <s v="T047"/>
    <s v="A047"/>
    <x v="2"/>
    <s v="Advanced protocol"/>
    <n v="1454.2"/>
    <d v="2023-05-02T00:00:00"/>
  </r>
  <r>
    <s v="T048"/>
    <s v="A048"/>
    <x v="0"/>
    <s v="Advanced protocol"/>
    <n v="3249.41"/>
    <d v="2023-01-16T00:00:00"/>
  </r>
  <r>
    <s v="T049"/>
    <s v="A049"/>
    <x v="0"/>
    <s v="Standard procedure"/>
    <n v="2349.63"/>
    <d v="2023-04-30T00:00:00"/>
  </r>
  <r>
    <s v="T050"/>
    <s v="A050"/>
    <x v="0"/>
    <s v="Basic screening"/>
    <n v="4279.38"/>
    <d v="2023-08-16T00:00:00"/>
  </r>
  <r>
    <s v="T051"/>
    <s v="A051"/>
    <x v="2"/>
    <s v="Standard procedure"/>
    <n v="4550.1000000000004"/>
    <d v="2023-02-04T00:00:00"/>
  </r>
  <r>
    <s v="T052"/>
    <s v="A052"/>
    <x v="2"/>
    <s v="Advanced protocol"/>
    <n v="2090.4"/>
    <d v="2023-07-12T00:00:00"/>
  </r>
  <r>
    <s v="T053"/>
    <s v="A053"/>
    <x v="0"/>
    <s v="Standard procedure"/>
    <n v="1565.92"/>
    <d v="2023-02-12T00:00:00"/>
  </r>
  <r>
    <s v="T054"/>
    <s v="A054"/>
    <x v="3"/>
    <s v="Standard procedure"/>
    <n v="4012.36"/>
    <d v="2023-12-16T00:00:00"/>
  </r>
  <r>
    <s v="T055"/>
    <s v="A055"/>
    <x v="3"/>
    <s v="Basic screening"/>
    <n v="1736.63"/>
    <d v="2023-10-06T00:00:00"/>
  </r>
  <r>
    <s v="T056"/>
    <s v="A056"/>
    <x v="4"/>
    <s v="Basic screening"/>
    <n v="4201.76"/>
    <d v="2023-01-02T00:00:00"/>
  </r>
  <r>
    <s v="T057"/>
    <s v="A057"/>
    <x v="1"/>
    <s v="Advanced protocol"/>
    <n v="2406.8200000000002"/>
    <d v="2023-04-15T00:00:00"/>
  </r>
  <r>
    <s v="T058"/>
    <s v="A058"/>
    <x v="3"/>
    <s v="Standard procedure"/>
    <n v="3503.97"/>
    <d v="2023-05-09T00:00:00"/>
  </r>
  <r>
    <s v="T059"/>
    <s v="A059"/>
    <x v="2"/>
    <s v="Standard procedure"/>
    <n v="929.91"/>
    <d v="2023-03-09T00:00:00"/>
  </r>
  <r>
    <s v="T060"/>
    <s v="A060"/>
    <x v="3"/>
    <s v="Basic screening"/>
    <n v="3307.37"/>
    <d v="2023-11-22T00:00:00"/>
  </r>
  <r>
    <s v="T061"/>
    <s v="A061"/>
    <x v="4"/>
    <s v="Standard procedure"/>
    <n v="2532.9499999999998"/>
    <d v="2023-01-15T00:00:00"/>
  </r>
  <r>
    <s v="T062"/>
    <s v="A062"/>
    <x v="4"/>
    <s v="Standard procedure"/>
    <n v="3139.74"/>
    <d v="2023-06-14T00:00:00"/>
  </r>
  <r>
    <s v="T063"/>
    <s v="A063"/>
    <x v="1"/>
    <s v="Standard procedure"/>
    <n v="1256.06"/>
    <d v="2023-06-29T00:00:00"/>
  </r>
  <r>
    <s v="T064"/>
    <s v="A064"/>
    <x v="3"/>
    <s v="Basic screening"/>
    <n v="3815.93"/>
    <d v="2023-05-31T00:00:00"/>
  </r>
  <r>
    <s v="T065"/>
    <s v="A065"/>
    <x v="2"/>
    <s v="Advanced protocol"/>
    <n v="4382.59"/>
    <d v="2023-04-24T00:00:00"/>
  </r>
  <r>
    <s v="T066"/>
    <s v="A066"/>
    <x v="2"/>
    <s v="Advanced protocol"/>
    <n v="1475.33"/>
    <d v="2023-05-10T00:00:00"/>
  </r>
  <r>
    <s v="T067"/>
    <s v="A067"/>
    <x v="0"/>
    <s v="Standard procedure"/>
    <n v="930.72"/>
    <d v="2023-08-10T00:00:00"/>
  </r>
  <r>
    <s v="T068"/>
    <s v="A068"/>
    <x v="2"/>
    <s v="Advanced protocol"/>
    <n v="606.37"/>
    <d v="2023-03-14T00:00:00"/>
  </r>
  <r>
    <s v="T069"/>
    <s v="A069"/>
    <x v="1"/>
    <s v="Basic screening"/>
    <n v="3388.87"/>
    <d v="2023-03-29T00:00:00"/>
  </r>
  <r>
    <s v="T070"/>
    <s v="A070"/>
    <x v="1"/>
    <s v="Basic screening"/>
    <n v="3231.92"/>
    <d v="2023-08-26T00:00:00"/>
  </r>
  <r>
    <s v="T071"/>
    <s v="A071"/>
    <x v="2"/>
    <s v="Advanced protocol"/>
    <n v="2960.14"/>
    <d v="2023-01-26T00:00:00"/>
  </r>
  <r>
    <s v="T072"/>
    <s v="A072"/>
    <x v="2"/>
    <s v="Advanced protocol"/>
    <n v="1543.76"/>
    <d v="2023-06-12T00:00:00"/>
  </r>
  <r>
    <s v="T073"/>
    <s v="A073"/>
    <x v="0"/>
    <s v="Standard procedure"/>
    <n v="2259.08"/>
    <d v="2023-12-24T00:00:00"/>
  </r>
  <r>
    <s v="T074"/>
    <s v="A074"/>
    <x v="2"/>
    <s v="Advanced protocol"/>
    <n v="3175.14"/>
    <d v="2023-07-23T00:00:00"/>
  </r>
  <r>
    <s v="T075"/>
    <s v="A075"/>
    <x v="0"/>
    <s v="Standard procedure"/>
    <n v="2735.45"/>
    <d v="2023-05-08T00:00:00"/>
  </r>
  <r>
    <s v="T076"/>
    <s v="A076"/>
    <x v="0"/>
    <s v="Standard procedure"/>
    <n v="4945.03"/>
    <d v="2023-11-27T00:00:00"/>
  </r>
  <r>
    <s v="T077"/>
    <s v="A077"/>
    <x v="2"/>
    <s v="Basic screening"/>
    <n v="1113.98"/>
    <d v="2023-12-14T00:00:00"/>
  </r>
  <r>
    <s v="T078"/>
    <s v="A078"/>
    <x v="4"/>
    <s v="Basic screening"/>
    <n v="3628.15"/>
    <d v="2023-09-17T00:00:00"/>
  </r>
  <r>
    <s v="T079"/>
    <s v="A079"/>
    <x v="4"/>
    <s v="Basic screening"/>
    <n v="2319.4299999999998"/>
    <d v="2023-12-26T00:00:00"/>
  </r>
  <r>
    <s v="T080"/>
    <s v="A080"/>
    <x v="0"/>
    <s v="Basic screening"/>
    <n v="2426.9"/>
    <d v="2023-06-26T00:00:00"/>
  </r>
  <r>
    <s v="T081"/>
    <s v="A081"/>
    <x v="2"/>
    <s v="Advanced protocol"/>
    <n v="3729.19"/>
    <d v="2023-01-06T00:00:00"/>
  </r>
  <r>
    <s v="T082"/>
    <s v="A082"/>
    <x v="4"/>
    <s v="Basic screening"/>
    <n v="3615.96"/>
    <d v="2023-01-20T00:00:00"/>
  </r>
  <r>
    <s v="T083"/>
    <s v="A083"/>
    <x v="2"/>
    <s v="Advanced protocol"/>
    <n v="4960.6499999999996"/>
    <d v="2023-11-07T00:00:00"/>
  </r>
  <r>
    <s v="T084"/>
    <s v="A084"/>
    <x v="2"/>
    <s v="Basic screening"/>
    <n v="1077.77"/>
    <d v="2023-05-31T00:00:00"/>
  </r>
  <r>
    <s v="T085"/>
    <s v="A085"/>
    <x v="2"/>
    <s v="Advanced protocol"/>
    <n v="968.49"/>
    <d v="2023-02-18T00:00:00"/>
  </r>
  <r>
    <s v="T086"/>
    <s v="A086"/>
    <x v="3"/>
    <s v="Standard procedure"/>
    <n v="3759.52"/>
    <d v="2023-10-29T00:00:00"/>
  </r>
  <r>
    <s v="T087"/>
    <s v="A087"/>
    <x v="2"/>
    <s v="Advanced protocol"/>
    <n v="3102.74"/>
    <d v="2023-10-19T00:00:00"/>
  </r>
  <r>
    <s v="T088"/>
    <s v="A088"/>
    <x v="3"/>
    <s v="Advanced protocol"/>
    <n v="1733.72"/>
    <d v="2023-05-02T00:00:00"/>
  </r>
  <r>
    <s v="T089"/>
    <s v="A089"/>
    <x v="0"/>
    <s v="Basic screening"/>
    <n v="857.39"/>
    <d v="2023-02-14T00:00:00"/>
  </r>
  <r>
    <s v="T090"/>
    <s v="A090"/>
    <x v="4"/>
    <s v="Advanced protocol"/>
    <n v="885.46"/>
    <d v="2023-06-01T00:00:00"/>
  </r>
  <r>
    <s v="T091"/>
    <s v="A091"/>
    <x v="4"/>
    <s v="Standard procedure"/>
    <n v="4523.8599999999997"/>
    <d v="2023-06-11T00:00:00"/>
  </r>
  <r>
    <s v="T092"/>
    <s v="A092"/>
    <x v="4"/>
    <s v="Standard procedure"/>
    <n v="1363.4"/>
    <d v="2023-01-30T00:00:00"/>
  </r>
  <r>
    <s v="T093"/>
    <s v="A093"/>
    <x v="4"/>
    <s v="Basic screening"/>
    <n v="1955.17"/>
    <d v="2023-04-09T00:00:00"/>
  </r>
  <r>
    <s v="T094"/>
    <s v="A094"/>
    <x v="4"/>
    <s v="Standard procedure"/>
    <n v="1519.95"/>
    <d v="2023-04-08T00:00:00"/>
  </r>
  <r>
    <s v="T095"/>
    <s v="A095"/>
    <x v="4"/>
    <s v="Advanced protocol"/>
    <n v="2097.48"/>
    <d v="2023-05-09T00:00:00"/>
  </r>
  <r>
    <s v="T096"/>
    <s v="A096"/>
    <x v="4"/>
    <s v="Standard procedure"/>
    <n v="812.41"/>
    <d v="2023-07-07T00:00:00"/>
  </r>
  <r>
    <s v="T097"/>
    <s v="A097"/>
    <x v="0"/>
    <s v="Basic screening"/>
    <n v="2835.77"/>
    <d v="2023-05-06T00:00:00"/>
  </r>
  <r>
    <s v="T098"/>
    <s v="A098"/>
    <x v="2"/>
    <s v="Advanced protocol"/>
    <n v="804.26"/>
    <d v="2023-03-17T00:00:00"/>
  </r>
  <r>
    <s v="T099"/>
    <s v="A099"/>
    <x v="1"/>
    <s v="Basic screening"/>
    <n v="4101.6000000000004"/>
    <d v="2023-07-04T00:00:00"/>
  </r>
  <r>
    <s v="T100"/>
    <s v="A100"/>
    <x v="3"/>
    <s v="Advanced protocol"/>
    <n v="1551.7"/>
    <d v="2023-03-02T00:00:00"/>
  </r>
  <r>
    <s v="T101"/>
    <s v="A101"/>
    <x v="1"/>
    <s v="Standard procedure"/>
    <n v="2930.05"/>
    <d v="2023-09-21T00:00:00"/>
  </r>
  <r>
    <s v="T102"/>
    <s v="A102"/>
    <x v="1"/>
    <s v="Basic screening"/>
    <n v="4460.3599999999997"/>
    <d v="2023-10-25T00:00:00"/>
  </r>
  <r>
    <s v="T103"/>
    <s v="A103"/>
    <x v="2"/>
    <s v="Basic screening"/>
    <n v="3428.95"/>
    <d v="2023-01-24T00:00:00"/>
  </r>
  <r>
    <s v="T104"/>
    <s v="A104"/>
    <x v="2"/>
    <s v="Advanced protocol"/>
    <n v="2898.31"/>
    <d v="2023-04-18T00:00:00"/>
  </r>
  <r>
    <s v="T105"/>
    <s v="A105"/>
    <x v="2"/>
    <s v="Basic screening"/>
    <n v="1959.5"/>
    <d v="2023-08-14T00:00:00"/>
  </r>
  <r>
    <s v="T106"/>
    <s v="A106"/>
    <x v="4"/>
    <s v="Advanced protocol"/>
    <n v="1998.51"/>
    <d v="2023-10-29T00:00:00"/>
  </r>
  <r>
    <s v="T107"/>
    <s v="A107"/>
    <x v="0"/>
    <s v="Advanced protocol"/>
    <n v="3512.69"/>
    <d v="2023-04-17T00:00:00"/>
  </r>
  <r>
    <s v="T108"/>
    <s v="A108"/>
    <x v="4"/>
    <s v="Advanced protocol"/>
    <n v="4973.63"/>
    <d v="2023-04-21T00:00:00"/>
  </r>
  <r>
    <s v="T109"/>
    <s v="A109"/>
    <x v="0"/>
    <s v="Advanced protocol"/>
    <n v="3478.28"/>
    <d v="2023-07-29T00:00:00"/>
  </r>
  <r>
    <s v="T110"/>
    <s v="A110"/>
    <x v="0"/>
    <s v="Standard procedure"/>
    <n v="3010.03"/>
    <d v="2023-07-19T00:00:00"/>
  </r>
  <r>
    <s v="T111"/>
    <s v="A111"/>
    <x v="1"/>
    <s v="Advanced protocol"/>
    <n v="3787.93"/>
    <d v="2023-05-22T00:00:00"/>
  </r>
  <r>
    <s v="T112"/>
    <s v="A112"/>
    <x v="1"/>
    <s v="Basic screening"/>
    <n v="2593.4299999999998"/>
    <d v="2023-01-11T00:00:00"/>
  </r>
  <r>
    <s v="T113"/>
    <s v="A113"/>
    <x v="0"/>
    <s v="Standard procedure"/>
    <n v="770.64"/>
    <d v="2023-11-24T00:00:00"/>
  </r>
  <r>
    <s v="T114"/>
    <s v="A114"/>
    <x v="0"/>
    <s v="Basic screening"/>
    <n v="3030.34"/>
    <d v="2023-08-08T00:00:00"/>
  </r>
  <r>
    <s v="T115"/>
    <s v="A115"/>
    <x v="4"/>
    <s v="Standard procedure"/>
    <n v="4809.3100000000004"/>
    <d v="2023-10-25T00:00:00"/>
  </r>
  <r>
    <s v="T116"/>
    <s v="A116"/>
    <x v="4"/>
    <s v="Advanced protocol"/>
    <n v="1288.8599999999999"/>
    <d v="2023-07-07T00:00:00"/>
  </r>
  <r>
    <s v="T117"/>
    <s v="A117"/>
    <x v="1"/>
    <s v="Standard procedure"/>
    <n v="3605.02"/>
    <d v="2023-06-20T00:00:00"/>
  </r>
  <r>
    <s v="T118"/>
    <s v="A118"/>
    <x v="2"/>
    <s v="Standard procedure"/>
    <n v="1404.2"/>
    <d v="2023-08-09T00:00:00"/>
  </r>
  <r>
    <s v="T119"/>
    <s v="A119"/>
    <x v="0"/>
    <s v="Basic screening"/>
    <n v="2911.22"/>
    <d v="2023-12-18T00:00:00"/>
  </r>
  <r>
    <s v="T120"/>
    <s v="A120"/>
    <x v="4"/>
    <s v="Basic screening"/>
    <n v="935.04"/>
    <d v="2023-12-08T00:00:00"/>
  </r>
  <r>
    <s v="T121"/>
    <s v="A121"/>
    <x v="1"/>
    <s v="Advanced protocol"/>
    <n v="2526.67"/>
    <d v="2023-04-07T00:00:00"/>
  </r>
  <r>
    <s v="T122"/>
    <s v="A122"/>
    <x v="4"/>
    <s v="Standard procedure"/>
    <n v="3902.73"/>
    <d v="2023-07-11T00:00:00"/>
  </r>
  <r>
    <s v="T123"/>
    <s v="A123"/>
    <x v="0"/>
    <s v="Standard procedure"/>
    <n v="2064.0700000000002"/>
    <d v="2023-02-28T00:00:00"/>
  </r>
  <r>
    <s v="T124"/>
    <s v="A124"/>
    <x v="0"/>
    <s v="Standard procedure"/>
    <n v="3492.1"/>
    <d v="2023-03-16T00:00:00"/>
  </r>
  <r>
    <s v="T125"/>
    <s v="A125"/>
    <x v="3"/>
    <s v="Advanced protocol"/>
    <n v="4079.52"/>
    <d v="2023-02-18T00:00:00"/>
  </r>
  <r>
    <s v="T126"/>
    <s v="A126"/>
    <x v="2"/>
    <s v="Advanced protocol"/>
    <n v="4672.3"/>
    <d v="2023-11-02T00:00:00"/>
  </r>
  <r>
    <s v="T127"/>
    <s v="A127"/>
    <x v="3"/>
    <s v="Advanced protocol"/>
    <n v="1555.89"/>
    <d v="2023-11-13T00:00:00"/>
  </r>
  <r>
    <s v="T128"/>
    <s v="A128"/>
    <x v="1"/>
    <s v="Advanced protocol"/>
    <n v="2296.92"/>
    <d v="2023-04-15T00:00:00"/>
  </r>
  <r>
    <s v="T129"/>
    <s v="A129"/>
    <x v="4"/>
    <s v="Advanced protocol"/>
    <n v="1185.8699999999999"/>
    <d v="2023-08-25T00:00:00"/>
  </r>
  <r>
    <s v="T130"/>
    <s v="A130"/>
    <x v="1"/>
    <s v="Basic screening"/>
    <n v="4966.18"/>
    <d v="2023-02-23T00:00:00"/>
  </r>
  <r>
    <s v="T131"/>
    <s v="A131"/>
    <x v="0"/>
    <s v="Standard procedure"/>
    <n v="4671.5"/>
    <d v="2023-05-11T00:00:00"/>
  </r>
  <r>
    <s v="T132"/>
    <s v="A132"/>
    <x v="3"/>
    <s v="Standard procedure"/>
    <n v="2929.81"/>
    <d v="2023-07-26T00:00:00"/>
  </r>
  <r>
    <s v="T133"/>
    <s v="A133"/>
    <x v="3"/>
    <s v="Standard procedure"/>
    <n v="4289.1499999999996"/>
    <d v="2023-03-23T00:00:00"/>
  </r>
  <r>
    <s v="T134"/>
    <s v="A134"/>
    <x v="3"/>
    <s v="Standard procedure"/>
    <n v="2844.31"/>
    <d v="2023-10-17T00:00:00"/>
  </r>
  <r>
    <s v="T135"/>
    <s v="A135"/>
    <x v="1"/>
    <s v="Standard procedure"/>
    <n v="3306.14"/>
    <d v="2023-09-09T00:00:00"/>
  </r>
  <r>
    <s v="T136"/>
    <s v="A136"/>
    <x v="0"/>
    <s v="Standard procedure"/>
    <n v="901.06"/>
    <d v="2023-05-13T00:00:00"/>
  </r>
  <r>
    <s v="T137"/>
    <s v="A137"/>
    <x v="4"/>
    <s v="Standard procedure"/>
    <n v="3898.72"/>
    <d v="2023-10-25T00:00:00"/>
  </r>
  <r>
    <s v="T138"/>
    <s v="A138"/>
    <x v="4"/>
    <s v="Standard procedure"/>
    <n v="1074.71"/>
    <d v="2023-12-26T00:00:00"/>
  </r>
  <r>
    <s v="T139"/>
    <s v="A139"/>
    <x v="1"/>
    <s v="Basic screening"/>
    <n v="4217.3"/>
    <d v="2023-10-10T00:00:00"/>
  </r>
  <r>
    <s v="T140"/>
    <s v="A140"/>
    <x v="3"/>
    <s v="Standard procedure"/>
    <n v="4019.13"/>
    <d v="2023-02-05T00:00:00"/>
  </r>
  <r>
    <s v="T141"/>
    <s v="A141"/>
    <x v="2"/>
    <s v="Basic screening"/>
    <n v="3689.35"/>
    <d v="2023-06-15T00:00:00"/>
  </r>
  <r>
    <s v="T142"/>
    <s v="A142"/>
    <x v="1"/>
    <s v="Advanced protocol"/>
    <n v="662.72"/>
    <d v="2023-11-01T00:00:00"/>
  </r>
  <r>
    <s v="T143"/>
    <s v="A143"/>
    <x v="1"/>
    <s v="Standard procedure"/>
    <n v="1864.08"/>
    <d v="2023-09-21T00:00:00"/>
  </r>
  <r>
    <s v="T144"/>
    <s v="A144"/>
    <x v="0"/>
    <s v="Advanced protocol"/>
    <n v="1684.01"/>
    <d v="2023-08-16T00:00:00"/>
  </r>
  <r>
    <s v="T145"/>
    <s v="A145"/>
    <x v="4"/>
    <s v="Advanced protocol"/>
    <n v="2120.61"/>
    <d v="2023-11-11T00:00:00"/>
  </r>
  <r>
    <s v="T146"/>
    <s v="A146"/>
    <x v="1"/>
    <s v="Advanced protocol"/>
    <n v="894.39"/>
    <d v="2023-01-05T00:00:00"/>
  </r>
  <r>
    <s v="T147"/>
    <s v="A147"/>
    <x v="1"/>
    <s v="Basic screening"/>
    <n v="4716.3100000000004"/>
    <d v="2023-11-13T00:00:00"/>
  </r>
  <r>
    <s v="T148"/>
    <s v="A148"/>
    <x v="3"/>
    <s v="Advanced protocol"/>
    <n v="2992.11"/>
    <d v="2023-12-06T00:00:00"/>
  </r>
  <r>
    <s v="T149"/>
    <s v="A149"/>
    <x v="3"/>
    <s v="Advanced protocol"/>
    <n v="1874.86"/>
    <d v="2023-07-26T00:00:00"/>
  </r>
  <r>
    <s v="T150"/>
    <s v="A150"/>
    <x v="2"/>
    <s v="Advanced protocol"/>
    <n v="2286.42"/>
    <d v="2023-08-16T00:00:00"/>
  </r>
  <r>
    <s v="T151"/>
    <s v="A151"/>
    <x v="0"/>
    <s v="Standard procedure"/>
    <n v="2512.41"/>
    <d v="2023-01-28T00:00:00"/>
  </r>
  <r>
    <s v="T152"/>
    <s v="A152"/>
    <x v="2"/>
    <s v="Standard procedure"/>
    <n v="3202.67"/>
    <d v="2023-04-14T00:00:00"/>
  </r>
  <r>
    <s v="T153"/>
    <s v="A153"/>
    <x v="3"/>
    <s v="Basic screening"/>
    <n v="2820.56"/>
    <d v="2023-07-08T00:00:00"/>
  </r>
  <r>
    <s v="T154"/>
    <s v="A154"/>
    <x v="4"/>
    <s v="Basic screening"/>
    <n v="4637.26"/>
    <d v="2023-03-06T00:00:00"/>
  </r>
  <r>
    <s v="T155"/>
    <s v="A155"/>
    <x v="3"/>
    <s v="Standard procedure"/>
    <n v="2736.34"/>
    <d v="2023-01-03T00:00:00"/>
  </r>
  <r>
    <s v="T156"/>
    <s v="A156"/>
    <x v="0"/>
    <s v="Basic screening"/>
    <n v="4964.71"/>
    <d v="2023-11-22T00:00:00"/>
  </r>
  <r>
    <s v="T157"/>
    <s v="A157"/>
    <x v="3"/>
    <s v="Standard procedure"/>
    <n v="4331.41"/>
    <d v="2023-05-12T00:00:00"/>
  </r>
  <r>
    <s v="T158"/>
    <s v="A158"/>
    <x v="0"/>
    <s v="Advanced protocol"/>
    <n v="1438.3"/>
    <d v="2023-07-12T00:00:00"/>
  </r>
  <r>
    <s v="T159"/>
    <s v="A159"/>
    <x v="0"/>
    <s v="Advanced protocol"/>
    <n v="4687.68"/>
    <d v="2023-04-08T00:00:00"/>
  </r>
  <r>
    <s v="T160"/>
    <s v="A160"/>
    <x v="0"/>
    <s v="Basic screening"/>
    <n v="1023.65"/>
    <d v="2023-12-17T00:00:00"/>
  </r>
  <r>
    <s v="T161"/>
    <s v="A161"/>
    <x v="0"/>
    <s v="Standard procedure"/>
    <n v="4178.5200000000004"/>
    <d v="2023-06-17T00:00:00"/>
  </r>
  <r>
    <s v="T162"/>
    <s v="A162"/>
    <x v="0"/>
    <s v="Standard procedure"/>
    <n v="2212.8000000000002"/>
    <d v="2023-01-01T00:00:00"/>
  </r>
  <r>
    <s v="T163"/>
    <s v="A163"/>
    <x v="4"/>
    <s v="Basic screening"/>
    <n v="4450.88"/>
    <d v="2023-06-27T00:00:00"/>
  </r>
  <r>
    <s v="T164"/>
    <s v="A164"/>
    <x v="2"/>
    <s v="Standard procedure"/>
    <n v="4406.26"/>
    <d v="2023-07-28T00:00:00"/>
  </r>
  <r>
    <s v="T165"/>
    <s v="A165"/>
    <x v="1"/>
    <s v="Advanced protocol"/>
    <n v="4126.66"/>
    <d v="2023-04-04T00:00:00"/>
  </r>
  <r>
    <s v="T166"/>
    <s v="A166"/>
    <x v="2"/>
    <s v="Basic screening"/>
    <n v="4055.14"/>
    <d v="2023-01-12T00:00:00"/>
  </r>
  <r>
    <s v="T167"/>
    <s v="A167"/>
    <x v="0"/>
    <s v="Basic screening"/>
    <n v="1871.06"/>
    <d v="2023-11-15T00:00:00"/>
  </r>
  <r>
    <s v="T168"/>
    <s v="A168"/>
    <x v="4"/>
    <s v="Standard procedure"/>
    <n v="864.14"/>
    <d v="2023-09-29T00:00:00"/>
  </r>
  <r>
    <s v="T169"/>
    <s v="A169"/>
    <x v="3"/>
    <s v="Basic screening"/>
    <n v="2313.41"/>
    <d v="2023-07-24T00:00:00"/>
  </r>
  <r>
    <s v="T170"/>
    <s v="A170"/>
    <x v="4"/>
    <s v="Standard procedure"/>
    <n v="1280.8599999999999"/>
    <d v="2023-03-03T00:00:00"/>
  </r>
  <r>
    <s v="T171"/>
    <s v="A171"/>
    <x v="0"/>
    <s v="Standard procedure"/>
    <n v="3627.28"/>
    <d v="2023-04-18T00:00:00"/>
  </r>
  <r>
    <s v="T172"/>
    <s v="A172"/>
    <x v="4"/>
    <s v="Standard procedure"/>
    <n v="2057.4499999999998"/>
    <d v="2023-03-09T00:00:00"/>
  </r>
  <r>
    <s v="T173"/>
    <s v="A173"/>
    <x v="4"/>
    <s v="Standard procedure"/>
    <n v="4890.25"/>
    <d v="2023-06-04T00:00:00"/>
  </r>
  <r>
    <s v="T174"/>
    <s v="A174"/>
    <x v="0"/>
    <s v="Standard procedure"/>
    <n v="3384.37"/>
    <d v="2023-10-31T00:00:00"/>
  </r>
  <r>
    <s v="T175"/>
    <s v="A175"/>
    <x v="4"/>
    <s v="Basic screening"/>
    <n v="4201.16"/>
    <d v="2023-10-22T00:00:00"/>
  </r>
  <r>
    <s v="T176"/>
    <s v="A176"/>
    <x v="1"/>
    <s v="Advanced protocol"/>
    <n v="1096.3599999999999"/>
    <d v="2023-04-26T00:00:00"/>
  </r>
  <r>
    <s v="T177"/>
    <s v="A177"/>
    <x v="1"/>
    <s v="Advanced protocol"/>
    <n v="4379.07"/>
    <d v="2023-08-16T00:00:00"/>
  </r>
  <r>
    <s v="T178"/>
    <s v="A178"/>
    <x v="4"/>
    <s v="Basic screening"/>
    <n v="4652.41"/>
    <d v="2023-01-17T00:00:00"/>
  </r>
  <r>
    <s v="T179"/>
    <s v="A179"/>
    <x v="3"/>
    <s v="Basic screening"/>
    <n v="2691.78"/>
    <d v="2023-03-08T00:00:00"/>
  </r>
  <r>
    <s v="T180"/>
    <s v="A180"/>
    <x v="0"/>
    <s v="Advanced protocol"/>
    <n v="3228.14"/>
    <d v="2023-01-07T00:00:00"/>
  </r>
  <r>
    <s v="T181"/>
    <s v="A181"/>
    <x v="1"/>
    <s v="Advanced protocol"/>
    <n v="3941.64"/>
    <d v="2023-09-03T00:00:00"/>
  </r>
  <r>
    <s v="T182"/>
    <s v="A182"/>
    <x v="3"/>
    <s v="Advanced protocol"/>
    <n v="1286.77"/>
    <d v="2023-04-12T00:00:00"/>
  </r>
  <r>
    <s v="T183"/>
    <s v="A183"/>
    <x v="4"/>
    <s v="Advanced protocol"/>
    <n v="2761.55"/>
    <d v="2023-02-03T00:00:00"/>
  </r>
  <r>
    <s v="T184"/>
    <s v="A184"/>
    <x v="3"/>
    <s v="Advanced protocol"/>
    <n v="2293.98"/>
    <d v="2023-02-26T00:00:00"/>
  </r>
  <r>
    <s v="T185"/>
    <s v="A185"/>
    <x v="2"/>
    <s v="Standard procedure"/>
    <n v="1158.68"/>
    <d v="2023-03-21T00:00:00"/>
  </r>
  <r>
    <s v="T186"/>
    <s v="A186"/>
    <x v="1"/>
    <s v="Basic screening"/>
    <n v="2153.9"/>
    <d v="2023-03-27T00:00:00"/>
  </r>
  <r>
    <s v="T187"/>
    <s v="A187"/>
    <x v="4"/>
    <s v="Standard procedure"/>
    <n v="806.78"/>
    <d v="2023-02-13T00:00:00"/>
  </r>
  <r>
    <s v="T188"/>
    <s v="A188"/>
    <x v="0"/>
    <s v="Advanced protocol"/>
    <n v="616.15"/>
    <d v="2023-04-12T00:00:00"/>
  </r>
  <r>
    <s v="T189"/>
    <s v="A189"/>
    <x v="4"/>
    <s v="Advanced protocol"/>
    <n v="1108.25"/>
    <d v="2023-10-05T00:00:00"/>
  </r>
  <r>
    <s v="T190"/>
    <s v="A190"/>
    <x v="0"/>
    <s v="Advanced protocol"/>
    <n v="4834.0200000000004"/>
    <d v="2023-11-16T00:00:00"/>
  </r>
  <r>
    <s v="T191"/>
    <s v="A191"/>
    <x v="4"/>
    <s v="Standard procedure"/>
    <n v="2972.88"/>
    <d v="2023-04-12T00:00:00"/>
  </r>
  <r>
    <s v="T192"/>
    <s v="A192"/>
    <x v="3"/>
    <s v="Standard procedure"/>
    <n v="4846.2"/>
    <d v="2023-08-31T00:00:00"/>
  </r>
  <r>
    <s v="T193"/>
    <s v="A193"/>
    <x v="3"/>
    <s v="Advanced protocol"/>
    <n v="2446.2399999999998"/>
    <d v="2023-09-15T00:00:00"/>
  </r>
  <r>
    <s v="T194"/>
    <s v="A194"/>
    <x v="3"/>
    <s v="Standard procedure"/>
    <n v="1903.17"/>
    <d v="2023-04-06T00:00:00"/>
  </r>
  <r>
    <s v="T195"/>
    <s v="A195"/>
    <x v="2"/>
    <s v="Standard procedure"/>
    <n v="2777.64"/>
    <d v="2023-08-19T00:00:00"/>
  </r>
  <r>
    <s v="T196"/>
    <s v="A196"/>
    <x v="0"/>
    <s v="Advanced protocol"/>
    <n v="2477.8000000000002"/>
    <d v="2023-10-26T00:00:00"/>
  </r>
  <r>
    <s v="T197"/>
    <s v="A197"/>
    <x v="3"/>
    <s v="Standard procedure"/>
    <n v="975.49"/>
    <d v="2023-04-01T00:00:00"/>
  </r>
  <r>
    <s v="T198"/>
    <s v="A198"/>
    <x v="2"/>
    <s v="Basic screening"/>
    <n v="3383.72"/>
    <d v="2023-05-15T00:00:00"/>
  </r>
  <r>
    <s v="T199"/>
    <s v="A199"/>
    <x v="0"/>
    <s v="Basic screening"/>
    <n v="1472.17"/>
    <d v="2023-05-01T00:00:00"/>
  </r>
  <r>
    <s v="T200"/>
    <s v="A200"/>
    <x v="4"/>
    <s v="Basic screening"/>
    <n v="3288.15"/>
    <d v="2023-12-30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D005"/>
    <x v="0"/>
    <s v="Dermatology"/>
    <n v="29"/>
  </r>
  <r>
    <s v="D001"/>
    <x v="1"/>
    <s v="Dermatology"/>
    <n v="25"/>
  </r>
  <r>
    <s v="D006"/>
    <x v="2"/>
    <s v="Pediatrics"/>
    <n v="24"/>
  </r>
  <r>
    <s v="D003"/>
    <x v="3"/>
    <s v="Pediatrics"/>
    <n v="22"/>
  </r>
  <r>
    <s v="D002"/>
    <x v="4"/>
    <s v="Pediatrics"/>
    <n v="21"/>
  </r>
  <r>
    <s v="D010"/>
    <x v="5"/>
    <s v="Oncology"/>
    <n v="19"/>
  </r>
  <r>
    <s v="D009"/>
    <x v="6"/>
    <s v="Pediatrics"/>
    <n v="17"/>
  </r>
  <r>
    <s v="D008"/>
    <x v="7"/>
    <s v="Dermatology"/>
    <n v="16"/>
  </r>
  <r>
    <s v="D004"/>
    <x v="8"/>
    <s v="Pediatrics"/>
    <n v="14"/>
  </r>
  <r>
    <s v="D007"/>
    <x v="9"/>
    <s v="Oncology"/>
    <n v="1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001"/>
    <s v="David"/>
    <s v="Williams"/>
    <s v="Female"/>
    <d v="1955-06-04T00:00:00"/>
    <n v="6939585183"/>
    <s v="789 Pine Rd"/>
    <d v="2022-06-23T00:00:00"/>
    <s v="WellnessCorp"/>
    <s v="INS840674"/>
    <s v="david.williams@mail.com"/>
    <n v="70"/>
    <x v="0"/>
  </r>
  <r>
    <s v="P002"/>
    <s v="Emily"/>
    <s v="Smith"/>
    <s v="Female"/>
    <d v="1984-10-12T00:00:00"/>
    <n v="8228188767"/>
    <s v="321 Maple Dr"/>
    <d v="2022-01-15T00:00:00"/>
    <s v="PulseSecure"/>
    <s v="INS354079"/>
    <s v="emily.smith@mail.com"/>
    <n v="41"/>
    <x v="1"/>
  </r>
  <r>
    <s v="P003"/>
    <s v="Laura"/>
    <s v="Jones"/>
    <s v="Male"/>
    <d v="1977-08-21T00:00:00"/>
    <n v="8397029847"/>
    <s v="321 Maple Dr"/>
    <d v="2022-02-07T00:00:00"/>
    <s v="PulseSecure"/>
    <s v="INS650929"/>
    <s v="laura.jones@mail.com"/>
    <n v="48"/>
    <x v="1"/>
  </r>
  <r>
    <s v="P004"/>
    <s v="Michael"/>
    <s v="Johnson"/>
    <s v="Female"/>
    <d v="1981-02-20T00:00:00"/>
    <n v="9019443432"/>
    <s v="123 Elm St"/>
    <d v="2021-03-02T00:00:00"/>
    <s v="HealthIndia"/>
    <s v="INS789944"/>
    <s v="michael.johnson@mail.com"/>
    <n v="45"/>
    <x v="1"/>
  </r>
  <r>
    <s v="P005"/>
    <s v="David"/>
    <s v="Wilson"/>
    <s v="Male"/>
    <d v="1960-06-23T00:00:00"/>
    <n v="7734463155"/>
    <s v="123 Elm St"/>
    <d v="2021-09-29T00:00:00"/>
    <s v="MedCare Plus"/>
    <s v="INS788105"/>
    <s v="david.wilson@mail.com"/>
    <n v="65"/>
    <x v="2"/>
  </r>
  <r>
    <s v="P006"/>
    <s v="Linda"/>
    <s v="Jones"/>
    <s v="Male"/>
    <d v="1963-06-16T00:00:00"/>
    <n v="7561777264"/>
    <s v="321 Maple Dr"/>
    <d v="2022-10-02T00:00:00"/>
    <s v="HealthIndia"/>
    <s v="INS613758"/>
    <s v="linda.jones@mail.com"/>
    <n v="62"/>
    <x v="2"/>
  </r>
  <r>
    <s v="P007"/>
    <s v="Alex"/>
    <s v="Johnson"/>
    <s v="Female"/>
    <d v="1989-06-08T00:00:00"/>
    <n v="6278710077"/>
    <s v="789 Pine Rd"/>
    <d v="2021-12-25T00:00:00"/>
    <s v="MedCare Plus"/>
    <s v="INS465890"/>
    <s v="alex.johnson@mail.com"/>
    <n v="36"/>
    <x v="1"/>
  </r>
  <r>
    <s v="P008"/>
    <s v="David"/>
    <s v="Davis"/>
    <s v="Female"/>
    <d v="1976-07-05T00:00:00"/>
    <n v="7090558393"/>
    <s v="456 Oak Ave"/>
    <d v="2021-05-25T00:00:00"/>
    <s v="WellnessCorp"/>
    <s v="INS545101"/>
    <s v="david.davis@mail.com"/>
    <n v="49"/>
    <x v="1"/>
  </r>
  <r>
    <s v="P009"/>
    <s v="Laura"/>
    <s v="Davis"/>
    <s v="Male"/>
    <d v="1971-12-11T00:00:00"/>
    <n v="7060324619"/>
    <s v="321 Maple Dr"/>
    <d v="2022-09-18T00:00:00"/>
    <s v="PulseSecure"/>
    <s v="INS136631"/>
    <s v="laura.davis@mail.com"/>
    <n v="54"/>
    <x v="2"/>
  </r>
  <r>
    <s v="P010"/>
    <s v="Michael"/>
    <s v="Taylor"/>
    <s v="Male"/>
    <d v="2001-10-13T00:00:00"/>
    <n v="7081396733"/>
    <s v="123 Elm St"/>
    <d v="2022-08-24T00:00:00"/>
    <s v="WellnessCorp"/>
    <s v="INS866577"/>
    <s v="michael.taylor@mail.com"/>
    <n v="24"/>
    <x v="3"/>
  </r>
  <r>
    <s v="P011"/>
    <s v="Emily"/>
    <s v="Jones"/>
    <s v="Female"/>
    <d v="1966-12-04T00:00:00"/>
    <n v="8990604070"/>
    <s v="789 Pine Rd"/>
    <d v="2022-09-27T00:00:00"/>
    <s v="MedCare Plus"/>
    <s v="INS172991"/>
    <s v="emily.jones@mail.com"/>
    <n v="59"/>
    <x v="2"/>
  </r>
  <r>
    <s v="P012"/>
    <s v="Laura"/>
    <s v="Davis"/>
    <s v="Female"/>
    <d v="1991-12-08T00:00:00"/>
    <n v="8135666049"/>
    <s v="321 Maple Dr"/>
    <d v="2023-04-27T00:00:00"/>
    <s v="MedCare Plus"/>
    <s v="INS104014"/>
    <s v="laura.davis@mail.com"/>
    <n v="34"/>
    <x v="3"/>
  </r>
  <r>
    <s v="P013"/>
    <s v="Laura"/>
    <s v="Johnson"/>
    <s v="Female"/>
    <d v="1990-03-28T00:00:00"/>
    <n v="9059178882"/>
    <s v="321 Maple Dr"/>
    <d v="2021-12-23T00:00:00"/>
    <s v="WellnessCorp"/>
    <s v="INS373237"/>
    <s v="laura.johnson@mail.com"/>
    <n v="36"/>
    <x v="1"/>
  </r>
  <r>
    <s v="P014"/>
    <s v="Alex"/>
    <s v="Taylor"/>
    <s v="Male"/>
    <d v="1968-02-27T00:00:00"/>
    <n v="7292262512"/>
    <s v="789 Pine Rd"/>
    <d v="2023-12-12T00:00:00"/>
    <s v="MedCare Plus"/>
    <s v="INS118070"/>
    <s v="alex.taylor@mail.com"/>
    <n v="58"/>
    <x v="2"/>
  </r>
  <r>
    <s v="P015"/>
    <s v="Sarah"/>
    <s v="Johnson"/>
    <s v="Male"/>
    <d v="1964-05-11T00:00:00"/>
    <n v="6636028516"/>
    <s v="321 Maple Dr"/>
    <d v="2021-09-25T00:00:00"/>
    <s v="WellnessCorp"/>
    <s v="INS922209"/>
    <s v="sarah.johnson@mail.com"/>
    <n v="62"/>
    <x v="2"/>
  </r>
  <r>
    <s v="P016"/>
    <s v="Michael"/>
    <s v="Taylor"/>
    <s v="Male"/>
    <d v="2000-07-22T00:00:00"/>
    <n v="7223380592"/>
    <s v="789 Pine Rd"/>
    <d v="2021-07-23T00:00:00"/>
    <s v="PulseSecure"/>
    <s v="INS156958"/>
    <s v="michael.taylor@mail.com"/>
    <n v="25"/>
    <x v="3"/>
  </r>
  <r>
    <s v="P017"/>
    <s v="Jane"/>
    <s v="Jones"/>
    <s v="Male"/>
    <d v="1991-05-01T00:00:00"/>
    <n v="6158428240"/>
    <s v="456 Oak Ave"/>
    <d v="2022-09-26T00:00:00"/>
    <s v="WellnessCorp"/>
    <s v="INS182074"/>
    <s v="jane.jones@mail.com"/>
    <n v="35"/>
    <x v="3"/>
  </r>
  <r>
    <s v="P018"/>
    <s v="Laura"/>
    <s v="Wilson"/>
    <s v="Male"/>
    <d v="1979-09-24T00:00:00"/>
    <n v="7145815738"/>
    <s v="789 Pine Rd"/>
    <d v="2022-09-23T00:00:00"/>
    <s v="PulseSecure"/>
    <s v="INS635017"/>
    <s v="laura.wilson@mail.com"/>
    <n v="46"/>
    <x v="1"/>
  </r>
  <r>
    <s v="P019"/>
    <s v="Sarah"/>
    <s v="Miller"/>
    <s v="Male"/>
    <d v="1975-05-24T00:00:00"/>
    <n v="8618058864"/>
    <s v="789 Pine Rd"/>
    <d v="2023-06-24T00:00:00"/>
    <s v="WellnessCorp"/>
    <s v="INS855073"/>
    <s v="sarah.miller@mail.com"/>
    <n v="51"/>
    <x v="2"/>
  </r>
  <r>
    <s v="P020"/>
    <s v="Jane"/>
    <s v="Moore"/>
    <s v="Female"/>
    <d v="2003-06-06T00:00:00"/>
    <n v="8158989953"/>
    <s v="789 Pine Rd"/>
    <d v="2022-04-03T00:00:00"/>
    <s v="MedCare Plus"/>
    <s v="INS276089"/>
    <s v="jane.moore@mail.com"/>
    <n v="22"/>
    <x v="3"/>
  </r>
  <r>
    <s v="P021"/>
    <s v="Michael"/>
    <s v="Wilson"/>
    <s v="Male"/>
    <d v="2002-03-01T00:00:00"/>
    <n v="7765390555"/>
    <s v="321 Maple Dr"/>
    <d v="2022-01-19T00:00:00"/>
    <s v="WellnessCorp"/>
    <s v="INS297392"/>
    <s v="michael.wilson@mail.com"/>
    <n v="24"/>
    <x v="3"/>
  </r>
  <r>
    <s v="P022"/>
    <s v="John"/>
    <s v="Brown"/>
    <s v="Male"/>
    <d v="1955-05-10T00:00:00"/>
    <n v="6221099573"/>
    <s v="321 Maple Dr"/>
    <d v="2021-05-11T00:00:00"/>
    <s v="MedCare Plus"/>
    <s v="INS258823"/>
    <s v="john.brown@mail.com"/>
    <n v="71"/>
    <x v="0"/>
  </r>
  <r>
    <s v="P023"/>
    <s v="Linda"/>
    <s v="Johnson"/>
    <s v="Male"/>
    <d v="1994-02-22T00:00:00"/>
    <n v="6141951830"/>
    <s v="789 Pine Rd"/>
    <d v="2021-12-27T00:00:00"/>
    <s v="WellnessCorp"/>
    <s v="INS730152"/>
    <s v="linda.johnson@mail.com"/>
    <n v="32"/>
    <x v="3"/>
  </r>
  <r>
    <s v="P024"/>
    <s v="Sarah"/>
    <s v="Brown"/>
    <s v="Female"/>
    <d v="1991-11-04T00:00:00"/>
    <n v="7196777444"/>
    <s v="321 Maple Dr"/>
    <d v="2021-09-02T00:00:00"/>
    <s v="WellnessCorp"/>
    <s v="INS493002"/>
    <s v="sarah.brown@mail.com"/>
    <n v="34"/>
    <x v="3"/>
  </r>
  <r>
    <s v="P025"/>
    <s v="Robert"/>
    <s v="Wilson"/>
    <s v="Male"/>
    <d v="1966-08-14T00:00:00"/>
    <n v="7482069727"/>
    <s v="123 Elm St"/>
    <d v="2021-09-09T00:00:00"/>
    <s v="HealthIndia"/>
    <s v="INS833429"/>
    <s v="robert.wilson@mail.com"/>
    <n v="59"/>
    <x v="2"/>
  </r>
  <r>
    <s v="P026"/>
    <s v="John"/>
    <s v="Taylor"/>
    <s v="Male"/>
    <d v="2003-11-28T00:00:00"/>
    <n v="9900972256"/>
    <s v="123 Elm St"/>
    <d v="2021-05-13T00:00:00"/>
    <s v="MedCare Plus"/>
    <s v="INS598863"/>
    <s v="john.taylor@mail.com"/>
    <n v="22"/>
    <x v="3"/>
  </r>
  <r>
    <s v="P027"/>
    <s v="Linda"/>
    <s v="Moore"/>
    <s v="Female"/>
    <d v="1998-06-29T00:00:00"/>
    <n v="8724518272"/>
    <s v="321 Maple Dr"/>
    <d v="2021-08-15T00:00:00"/>
    <s v="HealthIndia"/>
    <s v="INS467654"/>
    <s v="linda.moore@mail.com"/>
    <n v="27"/>
    <x v="3"/>
  </r>
  <r>
    <s v="P028"/>
    <s v="Alex"/>
    <s v="Moore"/>
    <s v="Male"/>
    <d v="1993-04-13T00:00:00"/>
    <n v="7028910482"/>
    <s v="321 Maple Dr"/>
    <d v="2023-05-20T00:00:00"/>
    <s v="MedCare Plus"/>
    <s v="INS679036"/>
    <s v="alex.moore@mail.com"/>
    <n v="33"/>
    <x v="3"/>
  </r>
  <r>
    <s v="P029"/>
    <s v="David"/>
    <s v="Smith"/>
    <s v="Male"/>
    <d v="2005-05-15T00:00:00"/>
    <n v="8923607677"/>
    <s v="789 Pine Rd"/>
    <d v="2023-04-19T00:00:00"/>
    <s v="HealthIndia"/>
    <s v="INS630089"/>
    <s v="david.smith@mail.com"/>
    <n v="21"/>
    <x v="3"/>
  </r>
  <r>
    <s v="P030"/>
    <s v="Emily"/>
    <s v="Moore"/>
    <s v="Male"/>
    <d v="1964-12-23T00:00:00"/>
    <n v="6622318721"/>
    <s v="456 Oak Ave"/>
    <d v="2021-08-07T00:00:00"/>
    <s v="PulseSecure"/>
    <s v="INS250262"/>
    <s v="emily.moore@mail.com"/>
    <n v="61"/>
    <x v="2"/>
  </r>
  <r>
    <s v="P031"/>
    <s v="Robert"/>
    <s v="Miller"/>
    <s v="Male"/>
    <d v="1987-01-14T00:00:00"/>
    <n v="8280346676"/>
    <s v="321 Maple Dr"/>
    <d v="2022-06-28T00:00:00"/>
    <s v="WellnessCorp"/>
    <s v="INS542905"/>
    <s v="robert.miller@mail.com"/>
    <n v="39"/>
    <x v="1"/>
  </r>
  <r>
    <s v="P032"/>
    <s v="Alex"/>
    <s v="Moore"/>
    <s v="Male"/>
    <d v="1981-01-08T00:00:00"/>
    <n v="8102183595"/>
    <s v="123 Elm St"/>
    <d v="2021-10-02T00:00:00"/>
    <s v="MedCare Plus"/>
    <s v="INS335362"/>
    <s v="alex.moore@mail.com"/>
    <n v="45"/>
    <x v="1"/>
  </r>
  <r>
    <s v="P033"/>
    <s v="Michael"/>
    <s v="Wilson"/>
    <s v="Female"/>
    <d v="1970-02-06T00:00:00"/>
    <n v="7923214041"/>
    <s v="789 Pine Rd"/>
    <d v="2023-09-06T00:00:00"/>
    <s v="MedCare Plus"/>
    <s v="INS544209"/>
    <s v="michael.wilson@mail.com"/>
    <n v="56"/>
    <x v="2"/>
  </r>
  <r>
    <s v="P034"/>
    <s v="Alex"/>
    <s v="Smith"/>
    <s v="Female"/>
    <d v="1950-01-26T00:00:00"/>
    <n v="8374657733"/>
    <s v="321 Maple Dr"/>
    <d v="2023-06-18T00:00:00"/>
    <s v="WellnessCorp"/>
    <s v="INS653880"/>
    <s v="alex.smith@mail.com"/>
    <n v="76"/>
    <x v="0"/>
  </r>
  <r>
    <s v="P035"/>
    <s v="David"/>
    <s v="Wilson"/>
    <s v="Female"/>
    <d v="1993-04-13T00:00:00"/>
    <n v="7039619487"/>
    <s v="123 Elm St"/>
    <d v="2023-07-09T00:00:00"/>
    <s v="MedCare Plus"/>
    <s v="INS897079"/>
    <s v="david.wilson@mail.com"/>
    <n v="33"/>
    <x v="3"/>
  </r>
  <r>
    <s v="P036"/>
    <s v="Michael"/>
    <s v="Wilson"/>
    <s v="Male"/>
    <d v="1997-12-26T00:00:00"/>
    <n v="8545613046"/>
    <s v="123 Elm St"/>
    <d v="2022-10-04T00:00:00"/>
    <s v="MedCare Plus"/>
    <s v="INS764076"/>
    <s v="michael.wilson@mail.com"/>
    <n v="28"/>
    <x v="3"/>
  </r>
  <r>
    <s v="P037"/>
    <s v="Robert"/>
    <s v="Williams"/>
    <s v="Male"/>
    <d v="1999-02-05T00:00:00"/>
    <n v="8886800195"/>
    <s v="456 Oak Ave"/>
    <d v="2021-09-30T00:00:00"/>
    <s v="HealthIndia"/>
    <s v="INS319963"/>
    <s v="robert.williams@mail.com"/>
    <n v="27"/>
    <x v="3"/>
  </r>
  <r>
    <s v="P038"/>
    <s v="David"/>
    <s v="Smith"/>
    <s v="Male"/>
    <d v="1991-06-25T00:00:00"/>
    <n v="6347262390"/>
    <s v="789 Pine Rd"/>
    <d v="2021-04-19T00:00:00"/>
    <s v="MedCare Plus"/>
    <s v="INS580761"/>
    <s v="david.smith@mail.com"/>
    <n v="34"/>
    <x v="3"/>
  </r>
  <r>
    <s v="P039"/>
    <s v="Jane"/>
    <s v="Wilson"/>
    <s v="Female"/>
    <d v="1950-12-12T00:00:00"/>
    <n v="9271131338"/>
    <s v="789 Pine Rd"/>
    <d v="2021-03-09T00:00:00"/>
    <s v="PulseSecure"/>
    <s v="INS348710"/>
    <s v="jane.wilson@mail.com"/>
    <n v="75"/>
    <x v="0"/>
  </r>
  <r>
    <s v="P040"/>
    <s v="Emily"/>
    <s v="Williams"/>
    <s v="Male"/>
    <d v="1972-05-30T00:00:00"/>
    <n v="7587653815"/>
    <s v="456 Oak Ave"/>
    <d v="2021-10-16T00:00:00"/>
    <s v="PulseSecure"/>
    <s v="INS320984"/>
    <s v="emily.williams@mail.com"/>
    <n v="53"/>
    <x v="2"/>
  </r>
  <r>
    <s v="P041"/>
    <s v="Robert"/>
    <s v="Williams"/>
    <s v="Male"/>
    <d v="1951-06-19T00:00:00"/>
    <n v="7020645498"/>
    <s v="456 Oak Ave"/>
    <d v="2022-07-16T00:00:00"/>
    <s v="WellnessCorp"/>
    <s v="INS997059"/>
    <s v="robert.williams@mail.com"/>
    <n v="74"/>
    <x v="0"/>
  </r>
  <r>
    <s v="P042"/>
    <s v="Jane"/>
    <s v="Smith"/>
    <s v="Female"/>
    <d v="1954-08-22T00:00:00"/>
    <n v="7040069008"/>
    <s v="789 Pine Rd"/>
    <d v="2022-03-15T00:00:00"/>
    <s v="MedCare Plus"/>
    <s v="INS956748"/>
    <s v="jane.smith@mail.com"/>
    <n v="71"/>
    <x v="0"/>
  </r>
  <r>
    <s v="P043"/>
    <s v="Linda"/>
    <s v="Brown"/>
    <s v="Male"/>
    <d v="1980-03-25T00:00:00"/>
    <n v="9127665406"/>
    <s v="789 Pine Rd"/>
    <d v="2022-07-18T00:00:00"/>
    <s v="WellnessCorp"/>
    <s v="INS882355"/>
    <s v="linda.brown@mail.com"/>
    <n v="46"/>
    <x v="1"/>
  </r>
  <r>
    <s v="P044"/>
    <s v="Robert"/>
    <s v="Taylor"/>
    <s v="Female"/>
    <d v="1976-03-11T00:00:00"/>
    <n v="9449458981"/>
    <s v="321 Maple Dr"/>
    <d v="2023-01-26T00:00:00"/>
    <s v="PulseSecure"/>
    <s v="INS364512"/>
    <s v="robert.taylor@mail.com"/>
    <n v="50"/>
    <x v="1"/>
  </r>
  <r>
    <s v="P045"/>
    <s v="Linda"/>
    <s v="Miller"/>
    <s v="Female"/>
    <d v="1966-04-25T00:00:00"/>
    <n v="7579616535"/>
    <s v="321 Maple Dr"/>
    <d v="2021-01-23T00:00:00"/>
    <s v="MedCare Plus"/>
    <s v="INS701863"/>
    <s v="linda.miller@mail.com"/>
    <n v="60"/>
    <x v="2"/>
  </r>
  <r>
    <s v="P046"/>
    <s v="Michael"/>
    <s v="Taylor"/>
    <s v="Female"/>
    <d v="1986-09-01T00:00:00"/>
    <n v="8019925828"/>
    <s v="456 Oak Ave"/>
    <d v="2021-07-31T00:00:00"/>
    <s v="MedCare Plus"/>
    <s v="INS368799"/>
    <s v="michael.taylor@mail.com"/>
    <n v="39"/>
    <x v="1"/>
  </r>
  <r>
    <s v="P047"/>
    <s v="Jane"/>
    <s v="Moore"/>
    <s v="Male"/>
    <d v="1995-12-13T00:00:00"/>
    <n v="8715732851"/>
    <s v="321 Maple Dr"/>
    <d v="2022-05-20T00:00:00"/>
    <s v="WellnessCorp"/>
    <s v="INS337549"/>
    <s v="jane.moore@mail.com"/>
    <n v="30"/>
    <x v="3"/>
  </r>
  <r>
    <s v="P048"/>
    <s v="Emily"/>
    <s v="Miller"/>
    <s v="Male"/>
    <d v="1983-03-24T00:00:00"/>
    <n v="8720989381"/>
    <s v="123 Elm St"/>
    <d v="2023-06-19T00:00:00"/>
    <s v="PulseSecure"/>
    <s v="INS694319"/>
    <s v="emily.miller@mail.com"/>
    <n v="43"/>
    <x v="1"/>
  </r>
  <r>
    <s v="P049"/>
    <s v="David"/>
    <s v="Moore"/>
    <s v="Male"/>
    <d v="1972-11-26T00:00:00"/>
    <n v="7712937941"/>
    <s v="321 Maple Dr"/>
    <d v="2023-06-14T00:00:00"/>
    <s v="MedCare Plus"/>
    <s v="INS584299"/>
    <s v="david.moore@mail.com"/>
    <n v="53"/>
    <x v="2"/>
  </r>
  <r>
    <s v="P050"/>
    <s v="Laura"/>
    <s v="Wilson"/>
    <s v="Male"/>
    <d v="1993-12-27T00:00:00"/>
    <n v="8301134730"/>
    <s v="321 Maple Dr"/>
    <d v="2023-04-28T00:00:00"/>
    <s v="WellnessCorp"/>
    <s v="INS712210"/>
    <s v="laura.wilson@mail.com"/>
    <n v="32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P034"/>
    <s v="T001"/>
    <d v="2023-08-09T00:00:00"/>
    <n v="3941.97"/>
    <x v="0"/>
    <s v="Pending"/>
  </r>
  <r>
    <s v="B002"/>
    <s v="P032"/>
    <s v="T002"/>
    <d v="2023-06-09T00:00:00"/>
    <n v="4158.4399999999996"/>
    <x v="0"/>
    <s v="Paid"/>
  </r>
  <r>
    <s v="B003"/>
    <s v="P048"/>
    <s v="T003"/>
    <d v="2023-06-28T00:00:00"/>
    <n v="3731.55"/>
    <x v="0"/>
    <s v="Paid"/>
  </r>
  <r>
    <s v="B004"/>
    <s v="P025"/>
    <s v="T004"/>
    <d v="2023-09-01T00:00:00"/>
    <n v="4799.8599999999997"/>
    <x v="0"/>
    <s v="Failed"/>
  </r>
  <r>
    <s v="B005"/>
    <s v="P040"/>
    <s v="T005"/>
    <d v="2023-07-06T00:00:00"/>
    <n v="582.04999999999995"/>
    <x v="1"/>
    <s v="Pending"/>
  </r>
  <r>
    <s v="B006"/>
    <s v="P045"/>
    <s v="T006"/>
    <d v="2023-06-19T00:00:00"/>
    <n v="1381"/>
    <x v="0"/>
    <s v="Pending"/>
  </r>
  <r>
    <s v="B007"/>
    <s v="P001"/>
    <s v="T007"/>
    <d v="2023-04-09T00:00:00"/>
    <n v="534.03"/>
    <x v="2"/>
    <s v="Failed"/>
  </r>
  <r>
    <s v="B008"/>
    <s v="P016"/>
    <s v="T008"/>
    <d v="2023-05-24T00:00:00"/>
    <n v="3413.64"/>
    <x v="2"/>
    <s v="Failed"/>
  </r>
  <r>
    <s v="B009"/>
    <s v="P039"/>
    <s v="T009"/>
    <d v="2023-03-05T00:00:00"/>
    <n v="4541.1400000000003"/>
    <x v="1"/>
    <s v="Paid"/>
  </r>
  <r>
    <s v="B010"/>
    <s v="P005"/>
    <s v="T010"/>
    <d v="2023-01-13T00:00:00"/>
    <n v="1595.67"/>
    <x v="2"/>
    <s v="Paid"/>
  </r>
  <r>
    <s v="B011"/>
    <s v="P022"/>
    <s v="T011"/>
    <d v="2023-11-12T00:00:00"/>
    <n v="4671.66"/>
    <x v="2"/>
    <s v="Failed"/>
  </r>
  <r>
    <s v="B012"/>
    <s v="P029"/>
    <s v="T012"/>
    <d v="2023-05-07T00:00:00"/>
    <n v="771.2"/>
    <x v="0"/>
    <s v="Pending"/>
  </r>
  <r>
    <s v="B013"/>
    <s v="P003"/>
    <s v="T013"/>
    <d v="2023-08-16T00:00:00"/>
    <n v="4704.96"/>
    <x v="2"/>
    <s v="Paid"/>
  </r>
  <r>
    <s v="B014"/>
    <s v="P012"/>
    <s v="T014"/>
    <d v="2023-05-25T00:00:00"/>
    <n v="2082.3000000000002"/>
    <x v="1"/>
    <s v="Paid"/>
  </r>
  <r>
    <s v="B015"/>
    <s v="P026"/>
    <s v="T015"/>
    <d v="2023-01-15T00:00:00"/>
    <n v="956.39"/>
    <x v="0"/>
    <s v="Pending"/>
  </r>
  <r>
    <s v="B016"/>
    <s v="P016"/>
    <s v="T016"/>
    <d v="2023-06-30T00:00:00"/>
    <n v="2686.42"/>
    <x v="0"/>
    <s v="Paid"/>
  </r>
  <r>
    <s v="B017"/>
    <s v="P037"/>
    <s v="T017"/>
    <d v="2023-07-11T00:00:00"/>
    <n v="1655.49"/>
    <x v="1"/>
    <s v="Pending"/>
  </r>
  <r>
    <s v="B018"/>
    <s v="P022"/>
    <s v="T018"/>
    <d v="2023-11-14T00:00:00"/>
    <n v="1781.93"/>
    <x v="0"/>
    <s v="Pending"/>
  </r>
  <r>
    <s v="B019"/>
    <s v="P029"/>
    <s v="T019"/>
    <d v="2023-02-06T00:00:00"/>
    <n v="1882.8"/>
    <x v="0"/>
    <s v="Pending"/>
  </r>
  <r>
    <s v="B020"/>
    <s v="P014"/>
    <s v="T020"/>
    <d v="2023-12-05T00:00:00"/>
    <n v="4113.62"/>
    <x v="1"/>
    <s v="Failed"/>
  </r>
  <r>
    <s v="B021"/>
    <s v="P028"/>
    <s v="T021"/>
    <d v="2023-04-24T00:00:00"/>
    <n v="2926.23"/>
    <x v="0"/>
    <s v="Failed"/>
  </r>
  <r>
    <s v="B022"/>
    <s v="P005"/>
    <s v="T022"/>
    <d v="2023-11-14T00:00:00"/>
    <n v="1900.88"/>
    <x v="1"/>
    <s v="Failed"/>
  </r>
  <r>
    <s v="B023"/>
    <s v="P047"/>
    <s v="T023"/>
    <d v="2023-05-09T00:00:00"/>
    <n v="3246.5"/>
    <x v="1"/>
    <s v="Pending"/>
  </r>
  <r>
    <s v="B024"/>
    <s v="P049"/>
    <s v="T024"/>
    <d v="2023-06-21T00:00:00"/>
    <n v="3722.68"/>
    <x v="2"/>
    <s v="Pending"/>
  </r>
  <r>
    <s v="B025"/>
    <s v="P030"/>
    <s v="T025"/>
    <d v="2023-02-25T00:00:00"/>
    <n v="1726.81"/>
    <x v="2"/>
    <s v="Failed"/>
  </r>
  <r>
    <s v="B026"/>
    <s v="P046"/>
    <s v="T026"/>
    <d v="2023-03-17T00:00:00"/>
    <n v="2360.9699999999998"/>
    <x v="0"/>
    <s v="Paid"/>
  </r>
  <r>
    <s v="B027"/>
    <s v="P005"/>
    <s v="T027"/>
    <d v="2023-11-14T00:00:00"/>
    <n v="1048.49"/>
    <x v="0"/>
    <s v="Pending"/>
  </r>
  <r>
    <s v="B028"/>
    <s v="P012"/>
    <s v="T028"/>
    <d v="2023-10-29T00:00:00"/>
    <n v="1315.17"/>
    <x v="1"/>
    <s v="Paid"/>
  </r>
  <r>
    <s v="B029"/>
    <s v="P016"/>
    <s v="T029"/>
    <d v="2023-06-25T00:00:00"/>
    <n v="3565.03"/>
    <x v="0"/>
    <s v="Paid"/>
  </r>
  <r>
    <s v="B030"/>
    <s v="P026"/>
    <s v="T030"/>
    <d v="2023-08-29T00:00:00"/>
    <n v="1316.47"/>
    <x v="1"/>
    <s v="Pending"/>
  </r>
  <r>
    <s v="B031"/>
    <s v="P026"/>
    <s v="T031"/>
    <d v="2023-04-04T00:00:00"/>
    <n v="2863.24"/>
    <x v="1"/>
    <s v="Pending"/>
  </r>
  <r>
    <s v="B032"/>
    <s v="P048"/>
    <s v="T032"/>
    <d v="2023-11-06T00:00:00"/>
    <n v="3690.71"/>
    <x v="0"/>
    <s v="Paid"/>
  </r>
  <r>
    <s v="B033"/>
    <s v="P021"/>
    <s v="T033"/>
    <d v="2023-09-23T00:00:00"/>
    <n v="980.95"/>
    <x v="1"/>
    <s v="Paid"/>
  </r>
  <r>
    <s v="B034"/>
    <s v="P039"/>
    <s v="T034"/>
    <d v="2023-06-13T00:00:00"/>
    <n v="3052.9"/>
    <x v="2"/>
    <s v="Failed"/>
  </r>
  <r>
    <s v="B035"/>
    <s v="P036"/>
    <s v="T035"/>
    <d v="2023-04-18T00:00:00"/>
    <n v="1654.53"/>
    <x v="0"/>
    <s v="Failed"/>
  </r>
  <r>
    <s v="B036"/>
    <s v="P033"/>
    <s v="T036"/>
    <d v="2023-01-08T00:00:00"/>
    <n v="4833.17"/>
    <x v="2"/>
    <s v="Pending"/>
  </r>
  <r>
    <s v="B037"/>
    <s v="P030"/>
    <s v="T037"/>
    <d v="2023-03-28T00:00:00"/>
    <n v="2675.96"/>
    <x v="0"/>
    <s v="Failed"/>
  </r>
  <r>
    <s v="B038"/>
    <s v="P037"/>
    <s v="T038"/>
    <d v="2023-02-23T00:00:00"/>
    <n v="4126.97"/>
    <x v="1"/>
    <s v="Failed"/>
  </r>
  <r>
    <s v="B039"/>
    <s v="P023"/>
    <s v="T039"/>
    <d v="2023-04-17T00:00:00"/>
    <n v="2976.02"/>
    <x v="0"/>
    <s v="Failed"/>
  </r>
  <r>
    <s v="B040"/>
    <s v="P010"/>
    <s v="T040"/>
    <d v="2023-03-27T00:00:00"/>
    <n v="695.36"/>
    <x v="2"/>
    <s v="Failed"/>
  </r>
  <r>
    <s v="B041"/>
    <s v="P005"/>
    <s v="T041"/>
    <d v="2023-01-01T00:00:00"/>
    <n v="3349.18"/>
    <x v="1"/>
    <s v="Paid"/>
  </r>
  <r>
    <s v="B042"/>
    <s v="P036"/>
    <s v="T042"/>
    <d v="2023-03-21T00:00:00"/>
    <n v="4781.32"/>
    <x v="0"/>
    <s v="Pending"/>
  </r>
  <r>
    <s v="B043"/>
    <s v="P034"/>
    <s v="T043"/>
    <d v="2023-03-29T00:00:00"/>
    <n v="3207.25"/>
    <x v="0"/>
    <s v="Failed"/>
  </r>
  <r>
    <s v="B044"/>
    <s v="P031"/>
    <s v="T044"/>
    <d v="2023-09-20T00:00:00"/>
    <n v="4186.3500000000004"/>
    <x v="0"/>
    <s v="Paid"/>
  </r>
  <r>
    <s v="B045"/>
    <s v="P010"/>
    <s v="T045"/>
    <d v="2023-09-28T00:00:00"/>
    <n v="4478.93"/>
    <x v="2"/>
    <s v="Paid"/>
  </r>
  <r>
    <s v="B046"/>
    <s v="P019"/>
    <s v="T046"/>
    <d v="2023-12-20T00:00:00"/>
    <n v="1526.36"/>
    <x v="2"/>
    <s v="Paid"/>
  </r>
  <r>
    <s v="B047"/>
    <s v="P032"/>
    <s v="T047"/>
    <d v="2023-05-02T00:00:00"/>
    <n v="1454.2"/>
    <x v="0"/>
    <s v="Failed"/>
  </r>
  <r>
    <s v="B048"/>
    <s v="P001"/>
    <s v="T048"/>
    <d v="2023-01-16T00:00:00"/>
    <n v="3249.41"/>
    <x v="1"/>
    <s v="Failed"/>
  </r>
  <r>
    <s v="B049"/>
    <s v="P005"/>
    <s v="T049"/>
    <d v="2023-04-30T00:00:00"/>
    <n v="2349.63"/>
    <x v="1"/>
    <s v="Pending"/>
  </r>
  <r>
    <s v="B050"/>
    <s v="P045"/>
    <s v="T050"/>
    <d v="2023-08-16T00:00:00"/>
    <n v="4279.38"/>
    <x v="2"/>
    <s v="Failed"/>
  </r>
  <r>
    <s v="B051"/>
    <s v="P004"/>
    <s v="T051"/>
    <d v="2023-02-04T00:00:00"/>
    <n v="4550.1000000000004"/>
    <x v="1"/>
    <s v="Failed"/>
  </r>
  <r>
    <s v="B052"/>
    <s v="P016"/>
    <s v="T052"/>
    <d v="2023-07-12T00:00:00"/>
    <n v="2090.4"/>
    <x v="2"/>
    <s v="Paid"/>
  </r>
  <r>
    <s v="B053"/>
    <s v="P024"/>
    <s v="T053"/>
    <d v="2023-02-12T00:00:00"/>
    <n v="1565.92"/>
    <x v="0"/>
    <s v="Pending"/>
  </r>
  <r>
    <s v="B054"/>
    <s v="P016"/>
    <s v="T054"/>
    <d v="2023-12-16T00:00:00"/>
    <n v="4012.36"/>
    <x v="2"/>
    <s v="Failed"/>
  </r>
  <r>
    <s v="B055"/>
    <s v="P002"/>
    <s v="T055"/>
    <d v="2023-10-06T00:00:00"/>
    <n v="1736.63"/>
    <x v="2"/>
    <s v="Failed"/>
  </r>
  <r>
    <s v="B056"/>
    <s v="P049"/>
    <s v="T056"/>
    <d v="2023-01-02T00:00:00"/>
    <n v="4201.76"/>
    <x v="0"/>
    <s v="Paid"/>
  </r>
  <r>
    <s v="B057"/>
    <s v="P028"/>
    <s v="T057"/>
    <d v="2023-04-15T00:00:00"/>
    <n v="2406.8200000000002"/>
    <x v="1"/>
    <s v="Paid"/>
  </r>
  <r>
    <s v="B058"/>
    <s v="P032"/>
    <s v="T058"/>
    <d v="2023-05-09T00:00:00"/>
    <n v="3503.97"/>
    <x v="2"/>
    <s v="Failed"/>
  </r>
  <r>
    <s v="B059"/>
    <s v="P027"/>
    <s v="T059"/>
    <d v="2023-03-09T00:00:00"/>
    <n v="929.91"/>
    <x v="2"/>
    <s v="Pending"/>
  </r>
  <r>
    <s v="B060"/>
    <s v="P020"/>
    <s v="T060"/>
    <d v="2023-11-22T00:00:00"/>
    <n v="3307.37"/>
    <x v="0"/>
    <s v="Pending"/>
  </r>
  <r>
    <s v="B061"/>
    <s v="P024"/>
    <s v="T061"/>
    <d v="2023-01-15T00:00:00"/>
    <n v="2532.9499999999998"/>
    <x v="1"/>
    <s v="Paid"/>
  </r>
  <r>
    <s v="B062"/>
    <s v="P012"/>
    <s v="T062"/>
    <d v="2023-06-14T00:00:00"/>
    <n v="3139.74"/>
    <x v="2"/>
    <s v="Paid"/>
  </r>
  <r>
    <s v="B063"/>
    <s v="P050"/>
    <s v="T063"/>
    <d v="2023-06-29T00:00:00"/>
    <n v="1256.06"/>
    <x v="0"/>
    <s v="Failed"/>
  </r>
  <r>
    <s v="B064"/>
    <s v="P035"/>
    <s v="T064"/>
    <d v="2023-05-31T00:00:00"/>
    <n v="3815.93"/>
    <x v="2"/>
    <s v="Paid"/>
  </r>
  <r>
    <s v="B065"/>
    <s v="P033"/>
    <s v="T065"/>
    <d v="2023-04-24T00:00:00"/>
    <n v="4382.59"/>
    <x v="0"/>
    <s v="Failed"/>
  </r>
  <r>
    <s v="B066"/>
    <s v="P033"/>
    <s v="T066"/>
    <d v="2023-05-10T00:00:00"/>
    <n v="1475.33"/>
    <x v="1"/>
    <s v="Pending"/>
  </r>
  <r>
    <s v="B067"/>
    <s v="P043"/>
    <s v="T067"/>
    <d v="2023-08-10T00:00:00"/>
    <n v="930.72"/>
    <x v="1"/>
    <s v="Pending"/>
  </r>
  <r>
    <s v="B068"/>
    <s v="P037"/>
    <s v="T068"/>
    <d v="2023-03-14T00:00:00"/>
    <n v="606.37"/>
    <x v="1"/>
    <s v="Failed"/>
  </r>
  <r>
    <s v="B069"/>
    <s v="P012"/>
    <s v="T069"/>
    <d v="2023-03-29T00:00:00"/>
    <n v="3388.87"/>
    <x v="1"/>
    <s v="Paid"/>
  </r>
  <r>
    <s v="B070"/>
    <s v="P003"/>
    <s v="T070"/>
    <d v="2023-08-26T00:00:00"/>
    <n v="3231.92"/>
    <x v="2"/>
    <s v="Pending"/>
  </r>
  <r>
    <s v="B071"/>
    <s v="P001"/>
    <s v="T071"/>
    <d v="2023-01-26T00:00:00"/>
    <n v="2960.14"/>
    <x v="2"/>
    <s v="Paid"/>
  </r>
  <r>
    <s v="B072"/>
    <s v="P033"/>
    <s v="T072"/>
    <d v="2023-06-12T00:00:00"/>
    <n v="1543.76"/>
    <x v="1"/>
    <s v="Pending"/>
  </r>
  <r>
    <s v="B073"/>
    <s v="P040"/>
    <s v="T073"/>
    <d v="2023-12-24T00:00:00"/>
    <n v="2259.08"/>
    <x v="1"/>
    <s v="Failed"/>
  </r>
  <r>
    <s v="B074"/>
    <s v="P010"/>
    <s v="T074"/>
    <d v="2023-07-23T00:00:00"/>
    <n v="3175.14"/>
    <x v="1"/>
    <s v="Failed"/>
  </r>
  <r>
    <s v="B075"/>
    <s v="P043"/>
    <s v="T075"/>
    <d v="2023-05-08T00:00:00"/>
    <n v="2735.45"/>
    <x v="2"/>
    <s v="Failed"/>
  </r>
  <r>
    <s v="B076"/>
    <s v="P044"/>
    <s v="T076"/>
    <d v="2023-11-27T00:00:00"/>
    <n v="4945.03"/>
    <x v="1"/>
    <s v="Pending"/>
  </r>
  <r>
    <s v="B077"/>
    <s v="P029"/>
    <s v="T077"/>
    <d v="2023-12-14T00:00:00"/>
    <n v="1113.98"/>
    <x v="1"/>
    <s v="Paid"/>
  </r>
  <r>
    <s v="B078"/>
    <s v="P013"/>
    <s v="T078"/>
    <d v="2023-09-17T00:00:00"/>
    <n v="3628.15"/>
    <x v="1"/>
    <s v="Paid"/>
  </r>
  <r>
    <s v="B079"/>
    <s v="P012"/>
    <s v="T079"/>
    <d v="2023-12-26T00:00:00"/>
    <n v="2319.4299999999998"/>
    <x v="0"/>
    <s v="Paid"/>
  </r>
  <r>
    <s v="B080"/>
    <s v="P031"/>
    <s v="T080"/>
    <d v="2023-06-26T00:00:00"/>
    <n v="2426.9"/>
    <x v="1"/>
    <s v="Pending"/>
  </r>
  <r>
    <s v="B081"/>
    <s v="P046"/>
    <s v="T081"/>
    <d v="2023-01-06T00:00:00"/>
    <n v="3729.19"/>
    <x v="0"/>
    <s v="Pending"/>
  </r>
  <r>
    <s v="B082"/>
    <s v="P002"/>
    <s v="T082"/>
    <d v="2023-01-20T00:00:00"/>
    <n v="3615.96"/>
    <x v="0"/>
    <s v="Pending"/>
  </r>
  <r>
    <s v="B083"/>
    <s v="P050"/>
    <s v="T083"/>
    <d v="2023-11-07T00:00:00"/>
    <n v="4960.6499999999996"/>
    <x v="1"/>
    <s v="Pending"/>
  </r>
  <r>
    <s v="B084"/>
    <s v="P035"/>
    <s v="T084"/>
    <d v="2023-05-31T00:00:00"/>
    <n v="1077.77"/>
    <x v="0"/>
    <s v="Pending"/>
  </r>
  <r>
    <s v="B085"/>
    <s v="P023"/>
    <s v="T085"/>
    <d v="2023-02-18T00:00:00"/>
    <n v="968.49"/>
    <x v="1"/>
    <s v="Paid"/>
  </r>
  <r>
    <s v="B086"/>
    <s v="P017"/>
    <s v="T086"/>
    <d v="2023-10-29T00:00:00"/>
    <n v="3759.52"/>
    <x v="2"/>
    <s v="Pending"/>
  </r>
  <r>
    <s v="B087"/>
    <s v="P026"/>
    <s v="T087"/>
    <d v="2023-10-19T00:00:00"/>
    <n v="3102.74"/>
    <x v="2"/>
    <s v="Pending"/>
  </r>
  <r>
    <s v="B088"/>
    <s v="P008"/>
    <s v="T088"/>
    <d v="2023-05-02T00:00:00"/>
    <n v="1733.72"/>
    <x v="2"/>
    <s v="Paid"/>
  </r>
  <r>
    <s v="B089"/>
    <s v="P029"/>
    <s v="T089"/>
    <d v="2023-02-14T00:00:00"/>
    <n v="857.39"/>
    <x v="2"/>
    <s v="Pending"/>
  </r>
  <r>
    <s v="B090"/>
    <s v="P026"/>
    <s v="T090"/>
    <d v="2023-06-01T00:00:00"/>
    <n v="885.46"/>
    <x v="0"/>
    <s v="Paid"/>
  </r>
  <r>
    <s v="B091"/>
    <s v="P010"/>
    <s v="T091"/>
    <d v="2023-06-11T00:00:00"/>
    <n v="4523.8599999999997"/>
    <x v="1"/>
    <s v="Paid"/>
  </r>
  <r>
    <s v="B092"/>
    <s v="P026"/>
    <s v="T092"/>
    <d v="2023-01-30T00:00:00"/>
    <n v="1363.4"/>
    <x v="1"/>
    <s v="Failed"/>
  </r>
  <r>
    <s v="B093"/>
    <s v="P034"/>
    <s v="T093"/>
    <d v="2023-04-09T00:00:00"/>
    <n v="1955.17"/>
    <x v="1"/>
    <s v="Failed"/>
  </r>
  <r>
    <s v="B094"/>
    <s v="P041"/>
    <s v="T094"/>
    <d v="2023-04-08T00:00:00"/>
    <n v="1519.95"/>
    <x v="2"/>
    <s v="Failed"/>
  </r>
  <r>
    <s v="B095"/>
    <s v="P007"/>
    <s v="T095"/>
    <d v="2023-05-09T00:00:00"/>
    <n v="2097.48"/>
    <x v="2"/>
    <s v="Failed"/>
  </r>
  <r>
    <s v="B096"/>
    <s v="P004"/>
    <s v="T096"/>
    <d v="2023-07-07T00:00:00"/>
    <n v="812.41"/>
    <x v="1"/>
    <s v="Pending"/>
  </r>
  <r>
    <s v="B097"/>
    <s v="P050"/>
    <s v="T097"/>
    <d v="2023-05-06T00:00:00"/>
    <n v="2835.77"/>
    <x v="2"/>
    <s v="Failed"/>
  </r>
  <r>
    <s v="B098"/>
    <s v="P045"/>
    <s v="T098"/>
    <d v="2023-03-17T00:00:00"/>
    <n v="804.26"/>
    <x v="1"/>
    <s v="Paid"/>
  </r>
  <r>
    <s v="B099"/>
    <s v="P011"/>
    <s v="T099"/>
    <d v="2023-07-04T00:00:00"/>
    <n v="4101.6000000000004"/>
    <x v="1"/>
    <s v="Pending"/>
  </r>
  <r>
    <s v="B100"/>
    <s v="P029"/>
    <s v="T100"/>
    <d v="2023-03-02T00:00:00"/>
    <n v="1551.7"/>
    <x v="1"/>
    <s v="Failed"/>
  </r>
  <r>
    <s v="B101"/>
    <s v="P036"/>
    <s v="T101"/>
    <d v="2023-09-21T00:00:00"/>
    <n v="2930.05"/>
    <x v="1"/>
    <s v="Paid"/>
  </r>
  <r>
    <s v="B102"/>
    <s v="P025"/>
    <s v="T102"/>
    <d v="2023-10-25T00:00:00"/>
    <n v="4460.3599999999997"/>
    <x v="1"/>
    <s v="Pending"/>
  </r>
  <r>
    <s v="B103"/>
    <s v="P021"/>
    <s v="T103"/>
    <d v="2023-01-24T00:00:00"/>
    <n v="3428.95"/>
    <x v="1"/>
    <s v="Pending"/>
  </r>
  <r>
    <s v="B104"/>
    <s v="P036"/>
    <s v="T104"/>
    <d v="2023-04-18T00:00:00"/>
    <n v="2898.31"/>
    <x v="1"/>
    <s v="Failed"/>
  </r>
  <r>
    <s v="B105"/>
    <s v="P010"/>
    <s v="T105"/>
    <d v="2023-08-14T00:00:00"/>
    <n v="1959.5"/>
    <x v="2"/>
    <s v="Pending"/>
  </r>
  <r>
    <s v="B106"/>
    <s v="P037"/>
    <s v="T106"/>
    <d v="2023-10-29T00:00:00"/>
    <n v="1998.51"/>
    <x v="1"/>
    <s v="Paid"/>
  </r>
  <r>
    <s v="B107"/>
    <s v="P009"/>
    <s v="T107"/>
    <d v="2023-04-17T00:00:00"/>
    <n v="3512.69"/>
    <x v="1"/>
    <s v="Pending"/>
  </r>
  <r>
    <s v="B108"/>
    <s v="P024"/>
    <s v="T108"/>
    <d v="2023-04-21T00:00:00"/>
    <n v="4973.63"/>
    <x v="2"/>
    <s v="Paid"/>
  </r>
  <r>
    <s v="B109"/>
    <s v="P035"/>
    <s v="T109"/>
    <d v="2023-07-29T00:00:00"/>
    <n v="3478.28"/>
    <x v="2"/>
    <s v="Pending"/>
  </r>
  <r>
    <s v="B110"/>
    <s v="P049"/>
    <s v="T110"/>
    <d v="2023-07-19T00:00:00"/>
    <n v="3010.03"/>
    <x v="2"/>
    <s v="Failed"/>
  </r>
  <r>
    <s v="B111"/>
    <s v="P035"/>
    <s v="T111"/>
    <d v="2023-05-22T00:00:00"/>
    <n v="3787.93"/>
    <x v="1"/>
    <s v="Paid"/>
  </r>
  <r>
    <s v="B112"/>
    <s v="P048"/>
    <s v="T112"/>
    <d v="2023-01-11T00:00:00"/>
    <n v="2593.4299999999998"/>
    <x v="0"/>
    <s v="Pending"/>
  </r>
  <r>
    <s v="B113"/>
    <s v="P036"/>
    <s v="T113"/>
    <d v="2023-11-24T00:00:00"/>
    <n v="770.64"/>
    <x v="0"/>
    <s v="Pending"/>
  </r>
  <r>
    <s v="B114"/>
    <s v="P018"/>
    <s v="T114"/>
    <d v="2023-08-08T00:00:00"/>
    <n v="3030.34"/>
    <x v="2"/>
    <s v="Pending"/>
  </r>
  <r>
    <s v="B115"/>
    <s v="P049"/>
    <s v="T115"/>
    <d v="2023-10-25T00:00:00"/>
    <n v="4809.3100000000004"/>
    <x v="0"/>
    <s v="Paid"/>
  </r>
  <r>
    <s v="B116"/>
    <s v="P039"/>
    <s v="T116"/>
    <d v="2023-07-07T00:00:00"/>
    <n v="1288.8599999999999"/>
    <x v="2"/>
    <s v="Paid"/>
  </r>
  <r>
    <s v="B117"/>
    <s v="P032"/>
    <s v="T117"/>
    <d v="2023-06-20T00:00:00"/>
    <n v="3605.02"/>
    <x v="1"/>
    <s v="Paid"/>
  </r>
  <r>
    <s v="B118"/>
    <s v="P024"/>
    <s v="T118"/>
    <d v="2023-08-09T00:00:00"/>
    <n v="1404.2"/>
    <x v="0"/>
    <s v="Failed"/>
  </r>
  <r>
    <s v="B119"/>
    <s v="P023"/>
    <s v="T119"/>
    <d v="2023-12-18T00:00:00"/>
    <n v="2911.22"/>
    <x v="1"/>
    <s v="Failed"/>
  </r>
  <r>
    <s v="B120"/>
    <s v="P032"/>
    <s v="T120"/>
    <d v="2023-12-08T00:00:00"/>
    <n v="935.04"/>
    <x v="0"/>
    <s v="Paid"/>
  </r>
  <r>
    <s v="B121"/>
    <s v="P037"/>
    <s v="T121"/>
    <d v="2023-04-07T00:00:00"/>
    <n v="2526.67"/>
    <x v="1"/>
    <s v="Pending"/>
  </r>
  <r>
    <s v="B122"/>
    <s v="P012"/>
    <s v="T122"/>
    <d v="2023-07-11T00:00:00"/>
    <n v="3902.73"/>
    <x v="0"/>
    <s v="Failed"/>
  </r>
  <r>
    <s v="B123"/>
    <s v="P049"/>
    <s v="T123"/>
    <d v="2023-02-28T00:00:00"/>
    <n v="2064.0700000000002"/>
    <x v="1"/>
    <s v="Paid"/>
  </r>
  <r>
    <s v="B124"/>
    <s v="P013"/>
    <s v="T124"/>
    <d v="2023-03-16T00:00:00"/>
    <n v="3492.1"/>
    <x v="1"/>
    <s v="Pending"/>
  </r>
  <r>
    <s v="B125"/>
    <s v="P023"/>
    <s v="T125"/>
    <d v="2023-02-18T00:00:00"/>
    <n v="4079.52"/>
    <x v="0"/>
    <s v="Failed"/>
  </r>
  <r>
    <s v="B126"/>
    <s v="P025"/>
    <s v="T126"/>
    <d v="2023-11-02T00:00:00"/>
    <n v="4672.3"/>
    <x v="1"/>
    <s v="Pending"/>
  </r>
  <r>
    <s v="B127"/>
    <s v="P035"/>
    <s v="T127"/>
    <d v="2023-11-13T00:00:00"/>
    <n v="1555.89"/>
    <x v="1"/>
    <s v="Pending"/>
  </r>
  <r>
    <s v="B128"/>
    <s v="P041"/>
    <s v="T128"/>
    <d v="2023-04-15T00:00:00"/>
    <n v="2296.92"/>
    <x v="1"/>
    <s v="Pending"/>
  </r>
  <r>
    <s v="B129"/>
    <s v="P030"/>
    <s v="T129"/>
    <d v="2023-08-25T00:00:00"/>
    <n v="1185.8699999999999"/>
    <x v="0"/>
    <s v="Pending"/>
  </r>
  <r>
    <s v="B130"/>
    <s v="P017"/>
    <s v="T130"/>
    <d v="2023-02-23T00:00:00"/>
    <n v="4966.18"/>
    <x v="0"/>
    <s v="Failed"/>
  </r>
  <r>
    <s v="B131"/>
    <s v="P049"/>
    <s v="T131"/>
    <d v="2023-05-11T00:00:00"/>
    <n v="4671.5"/>
    <x v="1"/>
    <s v="Failed"/>
  </r>
  <r>
    <s v="B132"/>
    <s v="P020"/>
    <s v="T132"/>
    <d v="2023-07-26T00:00:00"/>
    <n v="2929.81"/>
    <x v="1"/>
    <s v="Failed"/>
  </r>
  <r>
    <s v="B133"/>
    <s v="P048"/>
    <s v="T133"/>
    <d v="2023-03-23T00:00:00"/>
    <n v="4289.1499999999996"/>
    <x v="0"/>
    <s v="Paid"/>
  </r>
  <r>
    <s v="B134"/>
    <s v="P025"/>
    <s v="T134"/>
    <d v="2023-10-17T00:00:00"/>
    <n v="2844.31"/>
    <x v="0"/>
    <s v="Failed"/>
  </r>
  <r>
    <s v="B135"/>
    <s v="P022"/>
    <s v="T135"/>
    <d v="2023-09-09T00:00:00"/>
    <n v="3306.14"/>
    <x v="1"/>
    <s v="Pending"/>
  </r>
  <r>
    <s v="B136"/>
    <s v="P013"/>
    <s v="T136"/>
    <d v="2023-05-13T00:00:00"/>
    <n v="901.06"/>
    <x v="1"/>
    <s v="Failed"/>
  </r>
  <r>
    <s v="B137"/>
    <s v="P019"/>
    <s v="T137"/>
    <d v="2023-10-25T00:00:00"/>
    <n v="3898.72"/>
    <x v="1"/>
    <s v="Pending"/>
  </r>
  <r>
    <s v="B138"/>
    <s v="P049"/>
    <s v="T138"/>
    <d v="2023-12-26T00:00:00"/>
    <n v="1074.71"/>
    <x v="2"/>
    <s v="Paid"/>
  </r>
  <r>
    <s v="B139"/>
    <s v="P036"/>
    <s v="T139"/>
    <d v="2023-10-10T00:00:00"/>
    <n v="4217.3"/>
    <x v="0"/>
    <s v="Pending"/>
  </r>
  <r>
    <s v="B140"/>
    <s v="P012"/>
    <s v="T140"/>
    <d v="2023-02-05T00:00:00"/>
    <n v="4019.13"/>
    <x v="2"/>
    <s v="Pending"/>
  </r>
  <r>
    <s v="B141"/>
    <s v="P041"/>
    <s v="T141"/>
    <d v="2023-06-15T00:00:00"/>
    <n v="3689.35"/>
    <x v="0"/>
    <s v="Pending"/>
  </r>
  <r>
    <s v="B142"/>
    <s v="P019"/>
    <s v="T142"/>
    <d v="2023-11-01T00:00:00"/>
    <n v="662.72"/>
    <x v="0"/>
    <s v="Paid"/>
  </r>
  <r>
    <s v="B143"/>
    <s v="P012"/>
    <s v="T143"/>
    <d v="2023-09-21T00:00:00"/>
    <n v="1864.08"/>
    <x v="0"/>
    <s v="Failed"/>
  </r>
  <r>
    <s v="B144"/>
    <s v="P009"/>
    <s v="T144"/>
    <d v="2023-08-16T00:00:00"/>
    <n v="1684.01"/>
    <x v="0"/>
    <s v="Failed"/>
  </r>
  <r>
    <s v="B145"/>
    <s v="P007"/>
    <s v="T145"/>
    <d v="2023-11-11T00:00:00"/>
    <n v="2120.61"/>
    <x v="0"/>
    <s v="Paid"/>
  </r>
  <r>
    <s v="B146"/>
    <s v="P028"/>
    <s v="T146"/>
    <d v="2023-01-05T00:00:00"/>
    <n v="894.39"/>
    <x v="0"/>
    <s v="Pending"/>
  </r>
  <r>
    <s v="B147"/>
    <s v="P014"/>
    <s v="T147"/>
    <d v="2023-11-13T00:00:00"/>
    <n v="4716.3100000000004"/>
    <x v="0"/>
    <s v="Failed"/>
  </r>
  <r>
    <s v="B148"/>
    <s v="P031"/>
    <s v="T148"/>
    <d v="2023-12-06T00:00:00"/>
    <n v="2992.11"/>
    <x v="2"/>
    <s v="Paid"/>
  </r>
  <r>
    <s v="B149"/>
    <s v="P019"/>
    <s v="T149"/>
    <d v="2023-07-26T00:00:00"/>
    <n v="1874.86"/>
    <x v="1"/>
    <s v="Failed"/>
  </r>
  <r>
    <s v="B150"/>
    <s v="P047"/>
    <s v="T150"/>
    <d v="2023-08-16T00:00:00"/>
    <n v="2286.42"/>
    <x v="1"/>
    <s v="Paid"/>
  </r>
  <r>
    <s v="B151"/>
    <s v="P016"/>
    <s v="T151"/>
    <d v="2023-01-28T00:00:00"/>
    <n v="2512.41"/>
    <x v="2"/>
    <s v="Pending"/>
  </r>
  <r>
    <s v="B152"/>
    <s v="P005"/>
    <s v="T152"/>
    <d v="2023-04-14T00:00:00"/>
    <n v="3202.67"/>
    <x v="2"/>
    <s v="Failed"/>
  </r>
  <r>
    <s v="B153"/>
    <s v="P035"/>
    <s v="T153"/>
    <d v="2023-07-08T00:00:00"/>
    <n v="2820.56"/>
    <x v="2"/>
    <s v="Paid"/>
  </r>
  <r>
    <s v="B154"/>
    <s v="P012"/>
    <s v="T154"/>
    <d v="2023-03-06T00:00:00"/>
    <n v="4637.26"/>
    <x v="2"/>
    <s v="Failed"/>
  </r>
  <r>
    <s v="B155"/>
    <s v="P025"/>
    <s v="T155"/>
    <d v="2023-01-03T00:00:00"/>
    <n v="2736.34"/>
    <x v="0"/>
    <s v="Failed"/>
  </r>
  <r>
    <s v="B156"/>
    <s v="P021"/>
    <s v="T156"/>
    <d v="2023-11-22T00:00:00"/>
    <n v="4964.71"/>
    <x v="1"/>
    <s v="Failed"/>
  </r>
  <r>
    <s v="B157"/>
    <s v="P036"/>
    <s v="T157"/>
    <d v="2023-05-12T00:00:00"/>
    <n v="4331.41"/>
    <x v="0"/>
    <s v="Failed"/>
  </r>
  <r>
    <s v="B158"/>
    <s v="P023"/>
    <s v="T158"/>
    <d v="2023-07-12T00:00:00"/>
    <n v="1438.3"/>
    <x v="1"/>
    <s v="Paid"/>
  </r>
  <r>
    <s v="B159"/>
    <s v="P016"/>
    <s v="T159"/>
    <d v="2023-04-08T00:00:00"/>
    <n v="4687.68"/>
    <x v="1"/>
    <s v="Pending"/>
  </r>
  <r>
    <s v="B160"/>
    <s v="P039"/>
    <s v="T160"/>
    <d v="2023-12-17T00:00:00"/>
    <n v="1023.65"/>
    <x v="2"/>
    <s v="Paid"/>
  </r>
  <r>
    <s v="B161"/>
    <s v="P045"/>
    <s v="T161"/>
    <d v="2023-06-17T00:00:00"/>
    <n v="4178.5200000000004"/>
    <x v="0"/>
    <s v="Paid"/>
  </r>
  <r>
    <s v="B162"/>
    <s v="P042"/>
    <s v="T162"/>
    <d v="2023-01-01T00:00:00"/>
    <n v="2212.8000000000002"/>
    <x v="2"/>
    <s v="Paid"/>
  </r>
  <r>
    <s v="B163"/>
    <s v="P039"/>
    <s v="T163"/>
    <d v="2023-06-27T00:00:00"/>
    <n v="4450.88"/>
    <x v="0"/>
    <s v="Pending"/>
  </r>
  <r>
    <s v="B164"/>
    <s v="P014"/>
    <s v="T164"/>
    <d v="2023-07-28T00:00:00"/>
    <n v="4406.26"/>
    <x v="1"/>
    <s v="Failed"/>
  </r>
  <r>
    <s v="B165"/>
    <s v="P031"/>
    <s v="T165"/>
    <d v="2023-04-04T00:00:00"/>
    <n v="4126.66"/>
    <x v="2"/>
    <s v="Failed"/>
  </r>
  <r>
    <s v="B166"/>
    <s v="P005"/>
    <s v="T166"/>
    <d v="2023-01-12T00:00:00"/>
    <n v="4055.14"/>
    <x v="2"/>
    <s v="Failed"/>
  </r>
  <r>
    <s v="B167"/>
    <s v="P035"/>
    <s v="T167"/>
    <d v="2023-11-15T00:00:00"/>
    <n v="1871.06"/>
    <x v="1"/>
    <s v="Pending"/>
  </r>
  <r>
    <s v="B168"/>
    <s v="P023"/>
    <s v="T168"/>
    <d v="2023-09-29T00:00:00"/>
    <n v="864.14"/>
    <x v="1"/>
    <s v="Failed"/>
  </r>
  <r>
    <s v="B169"/>
    <s v="P029"/>
    <s v="T169"/>
    <d v="2023-07-24T00:00:00"/>
    <n v="2313.41"/>
    <x v="1"/>
    <s v="Pending"/>
  </r>
  <r>
    <s v="B170"/>
    <s v="P043"/>
    <s v="T170"/>
    <d v="2023-03-03T00:00:00"/>
    <n v="1280.8599999999999"/>
    <x v="2"/>
    <s v="Failed"/>
  </r>
  <r>
    <s v="B171"/>
    <s v="P011"/>
    <s v="T171"/>
    <d v="2023-04-18T00:00:00"/>
    <n v="3627.28"/>
    <x v="0"/>
    <s v="Failed"/>
  </r>
  <r>
    <s v="B172"/>
    <s v="P018"/>
    <s v="T172"/>
    <d v="2023-03-09T00:00:00"/>
    <n v="2057.4499999999998"/>
    <x v="2"/>
    <s v="Paid"/>
  </r>
  <r>
    <s v="B173"/>
    <s v="P047"/>
    <s v="T173"/>
    <d v="2023-06-04T00:00:00"/>
    <n v="4890.25"/>
    <x v="0"/>
    <s v="Pending"/>
  </r>
  <r>
    <s v="B174"/>
    <s v="P012"/>
    <s v="T174"/>
    <d v="2023-10-31T00:00:00"/>
    <n v="3384.37"/>
    <x v="2"/>
    <s v="Paid"/>
  </r>
  <r>
    <s v="B175"/>
    <s v="P009"/>
    <s v="T175"/>
    <d v="2023-10-22T00:00:00"/>
    <n v="4201.16"/>
    <x v="2"/>
    <s v="Paid"/>
  </r>
  <r>
    <s v="B176"/>
    <s v="P010"/>
    <s v="T176"/>
    <d v="2023-04-26T00:00:00"/>
    <n v="1096.3599999999999"/>
    <x v="1"/>
    <s v="Paid"/>
  </r>
  <r>
    <s v="B177"/>
    <s v="P044"/>
    <s v="T177"/>
    <d v="2023-08-16T00:00:00"/>
    <n v="4379.07"/>
    <x v="0"/>
    <s v="Pending"/>
  </r>
  <r>
    <s v="B178"/>
    <s v="P017"/>
    <s v="T178"/>
    <d v="2023-01-17T00:00:00"/>
    <n v="4652.41"/>
    <x v="2"/>
    <s v="Pending"/>
  </r>
  <r>
    <s v="B179"/>
    <s v="P038"/>
    <s v="T179"/>
    <d v="2023-03-08T00:00:00"/>
    <n v="2691.78"/>
    <x v="2"/>
    <s v="Failed"/>
  </r>
  <r>
    <s v="B180"/>
    <s v="P007"/>
    <s v="T180"/>
    <d v="2023-01-07T00:00:00"/>
    <n v="3228.14"/>
    <x v="1"/>
    <s v="Paid"/>
  </r>
  <r>
    <s v="B181"/>
    <s v="P046"/>
    <s v="T181"/>
    <d v="2023-09-03T00:00:00"/>
    <n v="3941.64"/>
    <x v="1"/>
    <s v="Failed"/>
  </r>
  <r>
    <s v="B182"/>
    <s v="P013"/>
    <s v="T182"/>
    <d v="2023-04-12T00:00:00"/>
    <n v="1286.77"/>
    <x v="0"/>
    <s v="Paid"/>
  </r>
  <r>
    <s v="B183"/>
    <s v="P040"/>
    <s v="T183"/>
    <d v="2023-02-03T00:00:00"/>
    <n v="2761.55"/>
    <x v="2"/>
    <s v="Pending"/>
  </r>
  <r>
    <s v="B184"/>
    <s v="P042"/>
    <s v="T184"/>
    <d v="2023-02-26T00:00:00"/>
    <n v="2293.98"/>
    <x v="0"/>
    <s v="Pending"/>
  </r>
  <r>
    <s v="B185"/>
    <s v="P009"/>
    <s v="T185"/>
    <d v="2023-03-21T00:00:00"/>
    <n v="1158.68"/>
    <x v="2"/>
    <s v="Pending"/>
  </r>
  <r>
    <s v="B186"/>
    <s v="P050"/>
    <s v="T186"/>
    <d v="2023-03-27T00:00:00"/>
    <n v="2153.9"/>
    <x v="0"/>
    <s v="Paid"/>
  </r>
  <r>
    <s v="B187"/>
    <s v="P027"/>
    <s v="T187"/>
    <d v="2023-02-13T00:00:00"/>
    <n v="806.78"/>
    <x v="1"/>
    <s v="Pending"/>
  </r>
  <r>
    <s v="B188"/>
    <s v="P002"/>
    <s v="T188"/>
    <d v="2023-04-12T00:00:00"/>
    <n v="616.15"/>
    <x v="2"/>
    <s v="Paid"/>
  </r>
  <r>
    <s v="B189"/>
    <s v="P005"/>
    <s v="T189"/>
    <d v="2023-10-05T00:00:00"/>
    <n v="1108.25"/>
    <x v="0"/>
    <s v="Failed"/>
  </r>
  <r>
    <s v="B190"/>
    <s v="P029"/>
    <s v="T190"/>
    <d v="2023-11-16T00:00:00"/>
    <n v="4834.0200000000004"/>
    <x v="1"/>
    <s v="Paid"/>
  </r>
  <r>
    <s v="B191"/>
    <s v="P037"/>
    <s v="T191"/>
    <d v="2023-04-12T00:00:00"/>
    <n v="2972.88"/>
    <x v="1"/>
    <s v="Failed"/>
  </r>
  <r>
    <s v="B192"/>
    <s v="P038"/>
    <s v="T192"/>
    <d v="2023-08-31T00:00:00"/>
    <n v="4846.2"/>
    <x v="0"/>
    <s v="Paid"/>
  </r>
  <r>
    <s v="B193"/>
    <s v="P019"/>
    <s v="T193"/>
    <d v="2023-09-15T00:00:00"/>
    <n v="2446.2399999999998"/>
    <x v="2"/>
    <s v="Failed"/>
  </r>
  <r>
    <s v="B194"/>
    <s v="P008"/>
    <s v="T194"/>
    <d v="2023-04-06T00:00:00"/>
    <n v="1903.17"/>
    <x v="2"/>
    <s v="Pending"/>
  </r>
  <r>
    <s v="B195"/>
    <s v="P048"/>
    <s v="T195"/>
    <d v="2023-08-19T00:00:00"/>
    <n v="2777.64"/>
    <x v="1"/>
    <s v="Failed"/>
  </r>
  <r>
    <s v="B196"/>
    <s v="P045"/>
    <s v="T196"/>
    <d v="2023-10-26T00:00:00"/>
    <n v="2477.8000000000002"/>
    <x v="2"/>
    <s v="Pending"/>
  </r>
  <r>
    <s v="B197"/>
    <s v="P001"/>
    <s v="T197"/>
    <d v="2023-04-01T00:00:00"/>
    <n v="975.49"/>
    <x v="2"/>
    <s v="Pending"/>
  </r>
  <r>
    <s v="B198"/>
    <s v="P022"/>
    <s v="T198"/>
    <d v="2023-05-15T00:00:00"/>
    <n v="3383.72"/>
    <x v="2"/>
    <s v="Failed"/>
  </r>
  <r>
    <s v="B199"/>
    <s v="P017"/>
    <s v="T199"/>
    <d v="2023-05-01T00:00:00"/>
    <n v="1472.17"/>
    <x v="1"/>
    <s v="Paid"/>
  </r>
  <r>
    <s v="B200"/>
    <s v="P007"/>
    <s v="T200"/>
    <d v="2023-12-30T00:00:00"/>
    <n v="3288.15"/>
    <x v="0"/>
    <s v="Pai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3"/>
    <x v="0"/>
    <n v="58701.23"/>
  </r>
  <r>
    <n v="2023"/>
    <x v="1"/>
    <n v="36669.69"/>
  </r>
  <r>
    <n v="2023"/>
    <x v="2"/>
    <n v="47304.29"/>
  </r>
  <r>
    <n v="2023"/>
    <x v="3"/>
    <n v="64271.54"/>
  </r>
  <r>
    <n v="2023"/>
    <x v="4"/>
    <n v="48791.05"/>
  </r>
  <r>
    <n v="2023"/>
    <x v="5"/>
    <n v="56887.82"/>
  </r>
  <r>
    <n v="2023"/>
    <x v="6"/>
    <n v="39880.19"/>
  </r>
  <r>
    <n v="2023"/>
    <x v="7"/>
    <n v="41958.67"/>
  </r>
  <r>
    <n v="2023"/>
    <x v="8"/>
    <n v="33426.53"/>
  </r>
  <r>
    <n v="2023"/>
    <x v="9"/>
    <n v="43314.15"/>
  </r>
  <r>
    <n v="2023"/>
    <x v="10"/>
    <n v="52474.98"/>
  </r>
  <r>
    <n v="2023"/>
    <x v="11"/>
    <n v="27569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8F527-D5B3-475A-BA91-59212F49BF0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:G7" firstHeaderRow="1" firstDataRow="1" firstDataCol="1"/>
  <pivotFields count="6">
    <pivotField showAll="0"/>
    <pivotField showAll="0"/>
    <pivotField axis="axisRow" showAll="0" sortType="ascending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71EB4-6AC2-42D1-ADA6-7940241C60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9">
    <pivotField dataField="1" showAll="0"/>
    <pivotField showAll="0"/>
    <pivotField showAll="0"/>
    <pivotField numFmtId="14" showAll="0"/>
    <pivotField numFmtId="16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B63A9-BDD1-4198-BDB0-C2FA65FE7C3A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T10:U23" firstHeaderRow="1" firstDataRow="1" firstDataCol="1"/>
  <pivotFields count="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221A9-57C5-483A-B6D1-31D5C11C026D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0:H34" firstHeaderRow="1" firstDataRow="1" firstDataCol="1"/>
  <pivotFields count="7">
    <pivotField showAll="0"/>
    <pivotField showAll="0"/>
    <pivotField showAll="0"/>
    <pivotField numFmtId="14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FA90B-68B9-48D9-86E1-ED6727C14A54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0:B35" firstHeaderRow="1" firstDataRow="1" firstDataCol="1"/>
  <pivotFields count="13">
    <pivotField dataField="1"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7FB52-8342-4698-B995-1E4D67567FE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1:M12" firstHeaderRow="1" firstDataRow="1" firstDataCol="1"/>
  <pivotFields count="4">
    <pivotField showAll="0"/>
    <pivotField axis="axisRow" showAll="0">
      <items count="11">
        <item x="2"/>
        <item x="8"/>
        <item x="1"/>
        <item x="4"/>
        <item x="3"/>
        <item x="7"/>
        <item x="5"/>
        <item x="9"/>
        <item x="6"/>
        <item x="0"/>
        <item t="default"/>
      </items>
    </pivotField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ppointment_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124ED112-34EE-46F4-AC40-CCFECC450F0C}" autoFormatId="16" applyNumberFormats="0" applyBorderFormats="0" applyFontFormats="0" applyPatternFormats="0" applyAlignmentFormats="0" applyWidthHeightFormats="0">
  <queryTableRefresh nextId="8">
    <queryTableFields count="7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7321667-B28F-44DA-A04D-B829CE2DAE3E}" autoFormatId="16" applyNumberFormats="0" applyBorderFormats="0" applyFontFormats="0" applyPatternFormats="0" applyAlignmentFormats="0" applyWidthHeightFormats="0">
  <queryTableRefresh nextId="5">
    <queryTableFields count="4">
      <queryTableField id="1" name="Doctor_ID" tableColumnId="1"/>
      <queryTableField id="2" name="Doctor_Name" tableColumnId="2"/>
      <queryTableField id="3" name="Specialization" tableColumnId="3"/>
      <queryTableField id="4" name="Appointment_C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6179750-567E-46EA-9A51-6BD42A35A09C}" autoFormatId="16" applyNumberFormats="0" applyBorderFormats="0" applyFontFormats="0" applyPatternFormats="0" applyAlignmentFormats="0" applyWidthHeightFormats="0">
  <queryTableRefresh nextId="4">
    <queryTableFields count="3">
      <queryTableField id="1" name="Bill_Year" tableColumnId="1"/>
      <queryTableField id="2" name="Bill_Month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BF4955A8-478A-446E-B9E9-FCAF7664EB85}" autoFormatId="16" applyNumberFormats="0" applyBorderFormats="0" applyFontFormats="0" applyPatternFormats="0" applyAlignmentFormats="0" applyWidthHeightFormats="0">
  <queryTableRefresh nextId="7">
    <queryTableFields count="6">
      <queryTableField id="1" name="Treatment_ID" tableColumnId="1"/>
      <queryTableField id="2" name="Appointment_ID" tableColumnId="2"/>
      <queryTableField id="3" name="Treatment_Type" tableColumnId="3"/>
      <queryTableField id="4" name="Description" tableColumnId="4"/>
      <queryTableField id="5" name="Cost" tableColumnId="5"/>
      <queryTableField id="6" name="Treatment_Dat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B99C1BE-9F1D-4BFA-BBCF-0CDC25636581}" autoFormatId="16" applyNumberFormats="0" applyBorderFormats="0" applyFontFormats="0" applyPatternFormats="0" applyAlignmentFormats="0" applyWidthHeightFormats="0">
  <queryTableRefresh nextId="10">
    <queryTableFields count="9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  <queryTableField id="8" name="Appointment_Year" tableColumnId="8"/>
      <queryTableField id="9" name="Appointment_Month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517CC05-ED44-402F-9978-B96A98C64EC4}" autoFormatId="16" applyNumberFormats="0" applyBorderFormats="0" applyFontFormats="0" applyPatternFormats="0" applyAlignmentFormats="0" applyWidthHeightFormats="0">
  <queryTableRefresh nextId="9">
    <queryTableFields count="8">
      <queryTableField id="1" name="Doctor_ID" tableColumnId="1"/>
      <queryTableField id="2" name="First_Name" tableColumnId="2"/>
      <queryTableField id="3" name="Last_Name" tableColumnId="3"/>
      <queryTableField id="4" name="Specialization" tableColumnId="4"/>
      <queryTableField id="5" name="Phone_Number" tableColumnId="5"/>
      <queryTableField id="6" name="Years_Experience" tableColumnId="6"/>
      <queryTableField id="7" name="Hospital_Branch" tableColumnId="7"/>
      <queryTableField id="8" name="Email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8B90137-F21B-4E50-A420-7F825DB085CA}" autoFormatId="16" applyNumberFormats="0" applyBorderFormats="0" applyFontFormats="0" applyPatternFormats="0" applyAlignmentFormats="0" applyWidthHeightFormats="0">
  <queryTableRefresh nextId="14">
    <queryTableFields count="13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Contact_Number" tableColumnId="6"/>
      <queryTableField id="7" name="Address" tableColumnId="7"/>
      <queryTableField id="8" name="Registration_Date" tableColumnId="8"/>
      <queryTableField id="9" name="Insurance_Provider" tableColumnId="9"/>
      <queryTableField id="10" name="Insurance_Number" tableColumnId="10"/>
      <queryTableField id="11" name="Email" tableColumnId="11"/>
      <queryTableField id="12" name="Age" tableColumnId="12"/>
      <queryTableField id="13" name="Age_Group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4274EA-0C38-4B52-B97D-EE4D2688E47B}" name="tbl_billing" displayName="tbl_billing" ref="A1:G201" tableType="queryTable" totalsRowShown="0">
  <autoFilter ref="A1:G201" xr:uid="{B64274EA-0C38-4B52-B97D-EE4D2688E47B}"/>
  <tableColumns count="7">
    <tableColumn id="1" xr3:uid="{49E0D59E-7179-40E8-9532-DDB15FC724E6}" uniqueName="1" name="Bill_ID" queryTableFieldId="1" dataDxfId="38"/>
    <tableColumn id="2" xr3:uid="{26E4D844-9A29-4C6E-AF9A-C87B9AE0617B}" uniqueName="2" name="Patient_ID" queryTableFieldId="2" dataDxfId="37"/>
    <tableColumn id="3" xr3:uid="{5CD3AAB5-5724-498E-A503-DC9710BF984C}" uniqueName="3" name="Treatment_ID" queryTableFieldId="3" dataDxfId="36"/>
    <tableColumn id="4" xr3:uid="{23331984-2C9F-4368-85E4-F7AB97FFC057}" uniqueName="4" name="Bill_Date" queryTableFieldId="4" dataDxfId="35"/>
    <tableColumn id="5" xr3:uid="{A1B62DAA-81E9-432C-AD40-05DD1489E602}" uniqueName="5" name="Amount" queryTableFieldId="5"/>
    <tableColumn id="6" xr3:uid="{1EA13E87-CE14-4860-8501-069D6F1C1C32}" uniqueName="6" name="Payment_Method" queryTableFieldId="6" dataDxfId="34"/>
    <tableColumn id="7" xr3:uid="{6B013E6E-6F4D-4510-9C71-C898B1461007}" uniqueName="7" name="Payment_Status" queryTableFieldId="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23D467-3B23-4D5B-8940-2717D0E9E32B}" name="tbl_doctor_performance" displayName="tbl_doctor_performance" ref="A1:D11" tableType="queryTable" totalsRowShown="0">
  <autoFilter ref="A1:D11" xr:uid="{5523D467-3B23-4D5B-8940-2717D0E9E32B}"/>
  <tableColumns count="4">
    <tableColumn id="1" xr3:uid="{BFE26389-34DD-40BE-A8FE-D47A8BA5877D}" uniqueName="1" name="Doctor_ID" queryTableFieldId="1" dataDxfId="32"/>
    <tableColumn id="2" xr3:uid="{1521BDC1-A424-4611-942E-448F75E75FEE}" uniqueName="2" name="Doctor_Name" queryTableFieldId="2" dataDxfId="31"/>
    <tableColumn id="3" xr3:uid="{32C7DC13-A81D-4EF4-9258-D5EA3A1B7F3E}" uniqueName="3" name="Specialization" queryTableFieldId="3" dataDxfId="30"/>
    <tableColumn id="4" xr3:uid="{8D940DB5-20C4-4563-8CC4-FABCDC866718}" uniqueName="4" name="Appointment_Cou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7614A3-146A-4078-85C2-0E20B9FEB3E7}" name="tbl_monthly_revenue" displayName="tbl_monthly_revenue" ref="A1:C13" tableType="queryTable" totalsRowShown="0">
  <autoFilter ref="A1:C13" xr:uid="{337614A3-146A-4078-85C2-0E20B9FEB3E7}"/>
  <tableColumns count="3">
    <tableColumn id="1" xr3:uid="{4F2271FE-C762-49F9-B80F-B47000406349}" uniqueName="1" name="Bill_Year" queryTableFieldId="1"/>
    <tableColumn id="2" xr3:uid="{177635CC-5D73-47F1-AA05-440D10A0CB55}" uniqueName="2" name="Bill_Month" queryTableFieldId="2"/>
    <tableColumn id="3" xr3:uid="{24151340-1489-4893-94E1-2995D7FF2E02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FB58F4-4780-4110-BECC-DBC55F4B0FBD}" name="tbl_treatments" displayName="tbl_treatments" ref="A1:F201" tableType="queryTable" totalsRowShown="0">
  <autoFilter ref="A1:F201" xr:uid="{BAFB58F4-4780-4110-BECC-DBC55F4B0FBD}"/>
  <tableColumns count="6">
    <tableColumn id="1" xr3:uid="{17848338-AE02-4CCA-942D-4C1E636376E2}" uniqueName="1" name="Treatment_ID" queryTableFieldId="1" dataDxfId="29"/>
    <tableColumn id="2" xr3:uid="{986EBD96-9D51-4768-9AF5-D97A93B37095}" uniqueName="2" name="Appointment_ID" queryTableFieldId="2" dataDxfId="28"/>
    <tableColumn id="3" xr3:uid="{B6210008-8E42-42AC-ADB2-C53207A1EA25}" uniqueName="3" name="Treatment_Type" queryTableFieldId="3" dataDxfId="27"/>
    <tableColumn id="4" xr3:uid="{3C431CDA-01D4-4329-97DB-C32D0CA1BEAF}" uniqueName="4" name="Description" queryTableFieldId="4" dataDxfId="26"/>
    <tableColumn id="5" xr3:uid="{F57CD4AB-2D86-41F0-9D79-F0B48BED6D4E}" uniqueName="5" name="Cost" queryTableFieldId="5"/>
    <tableColumn id="6" xr3:uid="{D843B8B4-2C8A-44AF-AE82-EFF54AE91C8D}" uniqueName="6" name="Treatment_Date" queryTableFieldId="6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A98E2-E8DC-49D0-B7E0-886FBA0DBA7A}" name="tbl_appointments" displayName="tbl_appointments" ref="A1:I201" tableType="queryTable" totalsRowShown="0">
  <autoFilter ref="A1:I201" xr:uid="{488A98E2-E8DC-49D0-B7E0-886FBA0DBA7A}"/>
  <tableColumns count="9">
    <tableColumn id="1" xr3:uid="{91B03D62-248D-4116-A4A9-F2D4AA61C4D7}" uniqueName="1" name="Appointment_ID" queryTableFieldId="1" dataDxfId="24"/>
    <tableColumn id="2" xr3:uid="{CB836E1E-C3A9-4A62-9203-2AEDB9294FEA}" uniqueName="2" name="Patient_ID" queryTableFieldId="2" dataDxfId="23"/>
    <tableColumn id="3" xr3:uid="{266853C3-FB95-4715-ABEC-179AD07FB7F0}" uniqueName="3" name="Doctor_ID" queryTableFieldId="3" dataDxfId="22"/>
    <tableColumn id="4" xr3:uid="{F39797BC-194C-4E39-9222-C3FCC16F111E}" uniqueName="4" name="Appointment_Date" queryTableFieldId="4" dataDxfId="21"/>
    <tableColumn id="5" xr3:uid="{26E61F4F-12D5-4CDC-BE1F-4BFEE2FA82EA}" uniqueName="5" name="Appointment_Time" queryTableFieldId="5" dataDxfId="20"/>
    <tableColumn id="6" xr3:uid="{587A8C0C-EEFA-4675-9223-7FE23D154835}" uniqueName="6" name="Reason_For_Visit" queryTableFieldId="6" dataDxfId="19"/>
    <tableColumn id="7" xr3:uid="{25EE42AF-B371-474A-B983-33BA8095F3DC}" uniqueName="7" name="Status" queryTableFieldId="7" dataDxfId="18"/>
    <tableColumn id="8" xr3:uid="{BA4BF4B7-2039-4603-8CB0-1755783B6E98}" uniqueName="8" name="Appointment_Year" queryTableFieldId="8"/>
    <tableColumn id="9" xr3:uid="{5C8F726B-CCE8-4572-AC48-96BFB11BBB95}" uniqueName="9" name="Appointment_Month" queryTableFieldId="9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66ECBC-1738-424E-AA8F-F0E3D884061B}" name="tbl_doctors" displayName="tbl_doctors" ref="A1:H11" tableType="queryTable" totalsRowShown="0">
  <autoFilter ref="A1:H11" xr:uid="{2066ECBC-1738-424E-AA8F-F0E3D884061B}"/>
  <tableColumns count="8">
    <tableColumn id="1" xr3:uid="{5D1B378E-6C92-4DCA-8DAC-D2F87E0875F5}" uniqueName="1" name="Doctor_ID" queryTableFieldId="1" dataDxfId="16"/>
    <tableColumn id="2" xr3:uid="{61B106A7-CF69-4F22-B10C-ACD37C7F81AC}" uniqueName="2" name="First_Name" queryTableFieldId="2" dataDxfId="15"/>
    <tableColumn id="3" xr3:uid="{D3594447-C926-430A-818A-F75B733C3B1F}" uniqueName="3" name="Last_Name" queryTableFieldId="3" dataDxfId="14"/>
    <tableColumn id="4" xr3:uid="{9C7C41A8-AA2E-4D19-B887-D0540043F84A}" uniqueName="4" name="Specialization" queryTableFieldId="4" dataDxfId="13"/>
    <tableColumn id="5" xr3:uid="{7541A7BA-BB94-4979-8FDE-8D14785B2215}" uniqueName="5" name="Phone_Number" queryTableFieldId="5"/>
    <tableColumn id="6" xr3:uid="{17EEACBF-7DC9-498A-B4D6-F33AF64994AB}" uniqueName="6" name="Years_Experience" queryTableFieldId="6"/>
    <tableColumn id="7" xr3:uid="{59244027-F8EA-404D-AF96-1A417BAFD62E}" uniqueName="7" name="Hospital_Branch" queryTableFieldId="7" dataDxfId="12"/>
    <tableColumn id="8" xr3:uid="{F6E9DF92-3C88-44EC-9B59-9E10C442DFFC}" uniqueName="8" name="Email" queryTableFieldId="8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54136-55AF-40CD-B2E1-E3046D8A3BAE}" name="tbl_patients" displayName="tbl_patients" ref="A1:M51" tableType="queryTable" totalsRowShown="0">
  <autoFilter ref="A1:M51" xr:uid="{4A254136-55AF-40CD-B2E1-E3046D8A3BAE}"/>
  <tableColumns count="13">
    <tableColumn id="1" xr3:uid="{4D98F1DB-D0E7-40E9-BE73-17A00D492336}" uniqueName="1" name="Patient_ID" queryTableFieldId="1" dataDxfId="10"/>
    <tableColumn id="2" xr3:uid="{6C384587-57B0-416D-9FC2-0AF9F4926669}" uniqueName="2" name="First_Name" queryTableFieldId="2" dataDxfId="9"/>
    <tableColumn id="3" xr3:uid="{3A844ACC-5FBF-45E3-BBC7-F2E9617C4F6B}" uniqueName="3" name="Last_Name" queryTableFieldId="3" dataDxfId="8"/>
    <tableColumn id="4" xr3:uid="{C4DDC749-3C5F-40F7-8C27-350561FC0C38}" uniqueName="4" name="Gender" queryTableFieldId="4" dataDxfId="7"/>
    <tableColumn id="5" xr3:uid="{A9C10E3A-1243-4097-98C1-8B72C74B6D68}" uniqueName="5" name="Date_Of_Birth" queryTableFieldId="5" dataDxfId="6"/>
    <tableColumn id="6" xr3:uid="{96361AF8-629E-4C82-9DE9-FA829D56EBA3}" uniqueName="6" name="Contact_Number" queryTableFieldId="6"/>
    <tableColumn id="7" xr3:uid="{BA0FCADE-7F79-4310-9F41-4A2DBF3D5B74}" uniqueName="7" name="Address" queryTableFieldId="7" dataDxfId="5"/>
    <tableColumn id="8" xr3:uid="{00DD6821-7A65-40D8-AC72-A040ADBF8829}" uniqueName="8" name="Registration_Date" queryTableFieldId="8" dataDxfId="4"/>
    <tableColumn id="9" xr3:uid="{1C23EC66-463A-45D4-BCD0-287D1EA1A994}" uniqueName="9" name="Insurance_Provider" queryTableFieldId="9" dataDxfId="3"/>
    <tableColumn id="10" xr3:uid="{9AE86505-9DE1-4304-85CD-4C4CC13EB882}" uniqueName="10" name="Insurance_Number" queryTableFieldId="10" dataDxfId="2"/>
    <tableColumn id="11" xr3:uid="{33324625-EBEC-41EE-8E41-3BB74F00E492}" uniqueName="11" name="Email" queryTableFieldId="11" dataDxfId="1"/>
    <tableColumn id="12" xr3:uid="{0F17B9CE-B574-4F7A-B356-AA6B557954A2}" uniqueName="12" name="Age" queryTableFieldId="12"/>
    <tableColumn id="13" xr3:uid="{EE4AE5AE-AA69-4C47-B1A5-F167C2F15170}" uniqueName="13" name="Age_Group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2354-D5FF-46F1-82A7-9134B73E87AA}">
  <dimension ref="A1:G201"/>
  <sheetViews>
    <sheetView topLeftCell="A2" workbookViewId="0">
      <selection activeCell="B12" sqref="B12"/>
    </sheetView>
  </sheetViews>
  <sheetFormatPr defaultRowHeight="15" x14ac:dyDescent="0.25"/>
  <cols>
    <col min="1" max="1" width="9" bestFit="1" customWidth="1"/>
    <col min="2" max="2" width="12.5703125" bestFit="1" customWidth="1"/>
    <col min="3" max="3" width="15.5703125" bestFit="1" customWidth="1"/>
    <col min="4" max="4" width="11.28515625" bestFit="1" customWidth="1"/>
    <col min="5" max="5" width="10.28515625" bestFit="1" customWidth="1"/>
    <col min="6" max="6" width="19" bestFit="1" customWidth="1"/>
    <col min="7" max="7" width="17.85546875" bestFit="1" customWidth="1"/>
  </cols>
  <sheetData>
    <row r="1" spans="1:7" x14ac:dyDescent="0.25">
      <c r="A1" t="s">
        <v>658</v>
      </c>
      <c r="B1" t="s">
        <v>0</v>
      </c>
      <c r="C1" t="s">
        <v>445</v>
      </c>
      <c r="D1" t="s">
        <v>659</v>
      </c>
      <c r="E1" t="s">
        <v>660</v>
      </c>
      <c r="F1" t="s">
        <v>661</v>
      </c>
      <c r="G1" t="s">
        <v>662</v>
      </c>
    </row>
    <row r="2" spans="1:7" x14ac:dyDescent="0.25">
      <c r="A2" t="s">
        <v>663</v>
      </c>
      <c r="B2" t="s">
        <v>142</v>
      </c>
      <c r="C2" t="s">
        <v>450</v>
      </c>
      <c r="D2" s="1">
        <v>45147</v>
      </c>
      <c r="E2">
        <v>3941.97</v>
      </c>
      <c r="F2" t="s">
        <v>664</v>
      </c>
      <c r="G2" t="s">
        <v>665</v>
      </c>
    </row>
    <row r="3" spans="1:7" x14ac:dyDescent="0.25">
      <c r="A3" t="s">
        <v>666</v>
      </c>
      <c r="B3" t="s">
        <v>138</v>
      </c>
      <c r="C3" t="s">
        <v>453</v>
      </c>
      <c r="D3" s="1">
        <v>45086</v>
      </c>
      <c r="E3">
        <v>4158.4399999999996</v>
      </c>
      <c r="F3" t="s">
        <v>664</v>
      </c>
      <c r="G3" t="s">
        <v>667</v>
      </c>
    </row>
    <row r="4" spans="1:7" x14ac:dyDescent="0.25">
      <c r="A4" t="s">
        <v>668</v>
      </c>
      <c r="B4" t="s">
        <v>178</v>
      </c>
      <c r="C4" t="s">
        <v>456</v>
      </c>
      <c r="D4" s="1">
        <v>45105</v>
      </c>
      <c r="E4">
        <v>3731.55</v>
      </c>
      <c r="F4" t="s">
        <v>664</v>
      </c>
      <c r="G4" t="s">
        <v>667</v>
      </c>
    </row>
    <row r="5" spans="1:7" x14ac:dyDescent="0.25">
      <c r="A5" t="s">
        <v>669</v>
      </c>
      <c r="B5" t="s">
        <v>116</v>
      </c>
      <c r="C5" t="s">
        <v>458</v>
      </c>
      <c r="D5" s="1">
        <v>45170</v>
      </c>
      <c r="E5">
        <v>4799.8599999999997</v>
      </c>
      <c r="F5" t="s">
        <v>664</v>
      </c>
      <c r="G5" t="s">
        <v>670</v>
      </c>
    </row>
    <row r="6" spans="1:7" x14ac:dyDescent="0.25">
      <c r="A6" t="s">
        <v>671</v>
      </c>
      <c r="B6" t="s">
        <v>157</v>
      </c>
      <c r="C6" t="s">
        <v>459</v>
      </c>
      <c r="D6" s="1">
        <v>45113</v>
      </c>
      <c r="E6">
        <v>582.04999999999995</v>
      </c>
      <c r="F6" t="s">
        <v>672</v>
      </c>
      <c r="G6" t="s">
        <v>665</v>
      </c>
    </row>
    <row r="7" spans="1:7" x14ac:dyDescent="0.25">
      <c r="A7" t="s">
        <v>673</v>
      </c>
      <c r="B7" t="s">
        <v>171</v>
      </c>
      <c r="C7" t="s">
        <v>461</v>
      </c>
      <c r="D7" s="1">
        <v>45096</v>
      </c>
      <c r="E7">
        <v>1381</v>
      </c>
      <c r="F7" t="s">
        <v>664</v>
      </c>
      <c r="G7" t="s">
        <v>665</v>
      </c>
    </row>
    <row r="8" spans="1:7" x14ac:dyDescent="0.25">
      <c r="A8" t="s">
        <v>674</v>
      </c>
      <c r="B8" t="s">
        <v>13</v>
      </c>
      <c r="C8" t="s">
        <v>462</v>
      </c>
      <c r="D8" s="1">
        <v>45025</v>
      </c>
      <c r="E8">
        <v>534.03</v>
      </c>
      <c r="F8" t="s">
        <v>675</v>
      </c>
      <c r="G8" t="s">
        <v>670</v>
      </c>
    </row>
    <row r="9" spans="1:7" x14ac:dyDescent="0.25">
      <c r="A9" t="s">
        <v>676</v>
      </c>
      <c r="B9" t="s">
        <v>85</v>
      </c>
      <c r="C9" t="s">
        <v>463</v>
      </c>
      <c r="D9" s="1">
        <v>45070</v>
      </c>
      <c r="E9">
        <v>3413.64</v>
      </c>
      <c r="F9" t="s">
        <v>675</v>
      </c>
      <c r="G9" t="s">
        <v>670</v>
      </c>
    </row>
    <row r="10" spans="1:7" x14ac:dyDescent="0.25">
      <c r="A10" t="s">
        <v>677</v>
      </c>
      <c r="B10" t="s">
        <v>154</v>
      </c>
      <c r="C10" t="s">
        <v>465</v>
      </c>
      <c r="D10" s="1">
        <v>44990</v>
      </c>
      <c r="E10">
        <v>4541.1400000000003</v>
      </c>
      <c r="F10" t="s">
        <v>672</v>
      </c>
      <c r="G10" t="s">
        <v>667</v>
      </c>
    </row>
    <row r="11" spans="1:7" x14ac:dyDescent="0.25">
      <c r="A11" t="s">
        <v>678</v>
      </c>
      <c r="B11" t="s">
        <v>43</v>
      </c>
      <c r="C11" t="s">
        <v>466</v>
      </c>
      <c r="D11" s="1">
        <v>44939</v>
      </c>
      <c r="E11">
        <v>1595.67</v>
      </c>
      <c r="F11" t="s">
        <v>675</v>
      </c>
      <c r="G11" t="s">
        <v>667</v>
      </c>
    </row>
    <row r="12" spans="1:7" x14ac:dyDescent="0.25">
      <c r="A12" t="s">
        <v>679</v>
      </c>
      <c r="B12" t="s">
        <v>105</v>
      </c>
      <c r="C12" t="s">
        <v>467</v>
      </c>
      <c r="D12" s="1">
        <v>45242</v>
      </c>
      <c r="E12">
        <v>4671.66</v>
      </c>
      <c r="F12" t="s">
        <v>675</v>
      </c>
      <c r="G12" t="s">
        <v>670</v>
      </c>
    </row>
    <row r="13" spans="1:7" x14ac:dyDescent="0.25">
      <c r="A13" t="s">
        <v>680</v>
      </c>
      <c r="B13" t="s">
        <v>129</v>
      </c>
      <c r="C13" t="s">
        <v>468</v>
      </c>
      <c r="D13" s="1">
        <v>45053</v>
      </c>
      <c r="E13">
        <v>771.2</v>
      </c>
      <c r="F13" t="s">
        <v>664</v>
      </c>
      <c r="G13" t="s">
        <v>665</v>
      </c>
    </row>
    <row r="14" spans="1:7" x14ac:dyDescent="0.25">
      <c r="A14" t="s">
        <v>681</v>
      </c>
      <c r="B14" t="s">
        <v>30</v>
      </c>
      <c r="C14" t="s">
        <v>469</v>
      </c>
      <c r="D14" s="1">
        <v>45154</v>
      </c>
      <c r="E14">
        <v>4704.96</v>
      </c>
      <c r="F14" t="s">
        <v>675</v>
      </c>
      <c r="G14" t="s">
        <v>667</v>
      </c>
    </row>
    <row r="15" spans="1:7" x14ac:dyDescent="0.25">
      <c r="A15" t="s">
        <v>682</v>
      </c>
      <c r="B15" t="s">
        <v>73</v>
      </c>
      <c r="C15" t="s">
        <v>470</v>
      </c>
      <c r="D15" s="1">
        <v>45071</v>
      </c>
      <c r="E15">
        <v>2082.3000000000002</v>
      </c>
      <c r="F15" t="s">
        <v>672</v>
      </c>
      <c r="G15" t="s">
        <v>667</v>
      </c>
    </row>
    <row r="16" spans="1:7" x14ac:dyDescent="0.25">
      <c r="A16" t="s">
        <v>683</v>
      </c>
      <c r="B16" t="s">
        <v>120</v>
      </c>
      <c r="C16" t="s">
        <v>471</v>
      </c>
      <c r="D16" s="1">
        <v>44941</v>
      </c>
      <c r="E16">
        <v>956.39</v>
      </c>
      <c r="F16" t="s">
        <v>664</v>
      </c>
      <c r="G16" t="s">
        <v>665</v>
      </c>
    </row>
    <row r="17" spans="1:7" x14ac:dyDescent="0.25">
      <c r="A17" t="s">
        <v>684</v>
      </c>
      <c r="B17" t="s">
        <v>85</v>
      </c>
      <c r="C17" t="s">
        <v>472</v>
      </c>
      <c r="D17" s="1">
        <v>45107</v>
      </c>
      <c r="E17">
        <v>2686.42</v>
      </c>
      <c r="F17" t="s">
        <v>664</v>
      </c>
      <c r="G17" t="s">
        <v>667</v>
      </c>
    </row>
    <row r="18" spans="1:7" x14ac:dyDescent="0.25">
      <c r="A18" t="s">
        <v>685</v>
      </c>
      <c r="B18" t="s">
        <v>149</v>
      </c>
      <c r="C18" t="s">
        <v>473</v>
      </c>
      <c r="D18" s="1">
        <v>45118</v>
      </c>
      <c r="E18">
        <v>1655.49</v>
      </c>
      <c r="F18" t="s">
        <v>672</v>
      </c>
      <c r="G18" t="s">
        <v>665</v>
      </c>
    </row>
    <row r="19" spans="1:7" x14ac:dyDescent="0.25">
      <c r="A19" t="s">
        <v>686</v>
      </c>
      <c r="B19" t="s">
        <v>105</v>
      </c>
      <c r="C19" t="s">
        <v>474</v>
      </c>
      <c r="D19" s="1">
        <v>45244</v>
      </c>
      <c r="E19">
        <v>1781.93</v>
      </c>
      <c r="F19" t="s">
        <v>664</v>
      </c>
      <c r="G19" t="s">
        <v>665</v>
      </c>
    </row>
    <row r="20" spans="1:7" x14ac:dyDescent="0.25">
      <c r="A20" t="s">
        <v>687</v>
      </c>
      <c r="B20" t="s">
        <v>129</v>
      </c>
      <c r="C20" t="s">
        <v>475</v>
      </c>
      <c r="D20" s="1">
        <v>44963</v>
      </c>
      <c r="E20">
        <v>1882.8</v>
      </c>
      <c r="F20" t="s">
        <v>664</v>
      </c>
      <c r="G20" t="s">
        <v>665</v>
      </c>
    </row>
    <row r="21" spans="1:7" x14ac:dyDescent="0.25">
      <c r="A21" t="s">
        <v>688</v>
      </c>
      <c r="B21" t="s">
        <v>78</v>
      </c>
      <c r="C21" t="s">
        <v>477</v>
      </c>
      <c r="D21" s="1">
        <v>45265</v>
      </c>
      <c r="E21">
        <v>4113.62</v>
      </c>
      <c r="F21" t="s">
        <v>672</v>
      </c>
      <c r="G21" t="s">
        <v>670</v>
      </c>
    </row>
    <row r="22" spans="1:7" x14ac:dyDescent="0.25">
      <c r="A22" t="s">
        <v>689</v>
      </c>
      <c r="B22" t="s">
        <v>126</v>
      </c>
      <c r="C22" t="s">
        <v>478</v>
      </c>
      <c r="D22" s="1">
        <v>45040</v>
      </c>
      <c r="E22">
        <v>2926.23</v>
      </c>
      <c r="F22" t="s">
        <v>664</v>
      </c>
      <c r="G22" t="s">
        <v>670</v>
      </c>
    </row>
    <row r="23" spans="1:7" x14ac:dyDescent="0.25">
      <c r="A23" t="s">
        <v>690</v>
      </c>
      <c r="B23" t="s">
        <v>43</v>
      </c>
      <c r="C23" t="s">
        <v>479</v>
      </c>
      <c r="D23" s="1">
        <v>45244</v>
      </c>
      <c r="E23">
        <v>1900.88</v>
      </c>
      <c r="F23" t="s">
        <v>672</v>
      </c>
      <c r="G23" t="s">
        <v>670</v>
      </c>
    </row>
    <row r="24" spans="1:7" x14ac:dyDescent="0.25">
      <c r="A24" t="s">
        <v>691</v>
      </c>
      <c r="B24" t="s">
        <v>176</v>
      </c>
      <c r="C24" t="s">
        <v>480</v>
      </c>
      <c r="D24" s="1">
        <v>45055</v>
      </c>
      <c r="E24">
        <v>3246.5</v>
      </c>
      <c r="F24" t="s">
        <v>672</v>
      </c>
      <c r="G24" t="s">
        <v>665</v>
      </c>
    </row>
    <row r="25" spans="1:7" x14ac:dyDescent="0.25">
      <c r="A25" t="s">
        <v>692</v>
      </c>
      <c r="B25" t="s">
        <v>181</v>
      </c>
      <c r="C25" t="s">
        <v>481</v>
      </c>
      <c r="D25" s="1">
        <v>45098</v>
      </c>
      <c r="E25">
        <v>3722.68</v>
      </c>
      <c r="F25" t="s">
        <v>675</v>
      </c>
      <c r="G25" t="s">
        <v>665</v>
      </c>
    </row>
    <row r="26" spans="1:7" x14ac:dyDescent="0.25">
      <c r="A26" t="s">
        <v>693</v>
      </c>
      <c r="B26" t="s">
        <v>132</v>
      </c>
      <c r="C26" t="s">
        <v>482</v>
      </c>
      <c r="D26" s="1">
        <v>44982</v>
      </c>
      <c r="E26">
        <v>1726.81</v>
      </c>
      <c r="F26" t="s">
        <v>675</v>
      </c>
      <c r="G26" t="s">
        <v>670</v>
      </c>
    </row>
    <row r="27" spans="1:7" x14ac:dyDescent="0.25">
      <c r="A27" t="s">
        <v>694</v>
      </c>
      <c r="B27" t="s">
        <v>174</v>
      </c>
      <c r="C27" t="s">
        <v>483</v>
      </c>
      <c r="D27" s="1">
        <v>45002</v>
      </c>
      <c r="E27">
        <v>2360.9699999999998</v>
      </c>
      <c r="F27" t="s">
        <v>664</v>
      </c>
      <c r="G27" t="s">
        <v>667</v>
      </c>
    </row>
    <row r="28" spans="1:7" x14ac:dyDescent="0.25">
      <c r="A28" t="s">
        <v>695</v>
      </c>
      <c r="B28" t="s">
        <v>43</v>
      </c>
      <c r="C28" t="s">
        <v>484</v>
      </c>
      <c r="D28" s="1">
        <v>45244</v>
      </c>
      <c r="E28">
        <v>1048.49</v>
      </c>
      <c r="F28" t="s">
        <v>664</v>
      </c>
      <c r="G28" t="s">
        <v>665</v>
      </c>
    </row>
    <row r="29" spans="1:7" x14ac:dyDescent="0.25">
      <c r="A29" t="s">
        <v>696</v>
      </c>
      <c r="B29" t="s">
        <v>73</v>
      </c>
      <c r="C29" t="s">
        <v>485</v>
      </c>
      <c r="D29" s="1">
        <v>45228</v>
      </c>
      <c r="E29">
        <v>1315.17</v>
      </c>
      <c r="F29" t="s">
        <v>672</v>
      </c>
      <c r="G29" t="s">
        <v>667</v>
      </c>
    </row>
    <row r="30" spans="1:7" x14ac:dyDescent="0.25">
      <c r="A30" t="s">
        <v>697</v>
      </c>
      <c r="B30" t="s">
        <v>85</v>
      </c>
      <c r="C30" t="s">
        <v>486</v>
      </c>
      <c r="D30" s="1">
        <v>45102</v>
      </c>
      <c r="E30">
        <v>3565.03</v>
      </c>
      <c r="F30" t="s">
        <v>664</v>
      </c>
      <c r="G30" t="s">
        <v>667</v>
      </c>
    </row>
    <row r="31" spans="1:7" x14ac:dyDescent="0.25">
      <c r="A31" t="s">
        <v>698</v>
      </c>
      <c r="B31" t="s">
        <v>120</v>
      </c>
      <c r="C31" t="s">
        <v>487</v>
      </c>
      <c r="D31" s="1">
        <v>45167</v>
      </c>
      <c r="E31">
        <v>1316.47</v>
      </c>
      <c r="F31" t="s">
        <v>672</v>
      </c>
      <c r="G31" t="s">
        <v>665</v>
      </c>
    </row>
    <row r="32" spans="1:7" x14ac:dyDescent="0.25">
      <c r="A32" t="s">
        <v>699</v>
      </c>
      <c r="B32" t="s">
        <v>120</v>
      </c>
      <c r="C32" t="s">
        <v>488</v>
      </c>
      <c r="D32" s="1">
        <v>45020</v>
      </c>
      <c r="E32">
        <v>2863.24</v>
      </c>
      <c r="F32" t="s">
        <v>672</v>
      </c>
      <c r="G32" t="s">
        <v>665</v>
      </c>
    </row>
    <row r="33" spans="1:7" x14ac:dyDescent="0.25">
      <c r="A33" t="s">
        <v>700</v>
      </c>
      <c r="B33" t="s">
        <v>178</v>
      </c>
      <c r="C33" t="s">
        <v>489</v>
      </c>
      <c r="D33" s="1">
        <v>45236</v>
      </c>
      <c r="E33">
        <v>3690.71</v>
      </c>
      <c r="F33" t="s">
        <v>664</v>
      </c>
      <c r="G33" t="s">
        <v>667</v>
      </c>
    </row>
    <row r="34" spans="1:7" x14ac:dyDescent="0.25">
      <c r="A34" t="s">
        <v>701</v>
      </c>
      <c r="B34" t="s">
        <v>102</v>
      </c>
      <c r="C34" t="s">
        <v>490</v>
      </c>
      <c r="D34" s="1">
        <v>45192</v>
      </c>
      <c r="E34">
        <v>980.95</v>
      </c>
      <c r="F34" t="s">
        <v>672</v>
      </c>
      <c r="G34" t="s">
        <v>667</v>
      </c>
    </row>
    <row r="35" spans="1:7" x14ac:dyDescent="0.25">
      <c r="A35" t="s">
        <v>702</v>
      </c>
      <c r="B35" t="s">
        <v>154</v>
      </c>
      <c r="C35" t="s">
        <v>491</v>
      </c>
      <c r="D35" s="1">
        <v>45090</v>
      </c>
      <c r="E35">
        <v>3052.9</v>
      </c>
      <c r="F35" t="s">
        <v>675</v>
      </c>
      <c r="G35" t="s">
        <v>670</v>
      </c>
    </row>
    <row r="36" spans="1:7" x14ac:dyDescent="0.25">
      <c r="A36" t="s">
        <v>703</v>
      </c>
      <c r="B36" t="s">
        <v>147</v>
      </c>
      <c r="C36" t="s">
        <v>492</v>
      </c>
      <c r="D36" s="1">
        <v>45034</v>
      </c>
      <c r="E36">
        <v>1654.53</v>
      </c>
      <c r="F36" t="s">
        <v>664</v>
      </c>
      <c r="G36" t="s">
        <v>670</v>
      </c>
    </row>
    <row r="37" spans="1:7" x14ac:dyDescent="0.25">
      <c r="A37" t="s">
        <v>704</v>
      </c>
      <c r="B37" t="s">
        <v>140</v>
      </c>
      <c r="C37" t="s">
        <v>493</v>
      </c>
      <c r="D37" s="1">
        <v>44934</v>
      </c>
      <c r="E37">
        <v>4833.17</v>
      </c>
      <c r="F37" t="s">
        <v>675</v>
      </c>
      <c r="G37" t="s">
        <v>665</v>
      </c>
    </row>
    <row r="38" spans="1:7" x14ac:dyDescent="0.25">
      <c r="A38" t="s">
        <v>705</v>
      </c>
      <c r="B38" t="s">
        <v>132</v>
      </c>
      <c r="C38" t="s">
        <v>494</v>
      </c>
      <c r="D38" s="1">
        <v>45013</v>
      </c>
      <c r="E38">
        <v>2675.96</v>
      </c>
      <c r="F38" t="s">
        <v>664</v>
      </c>
      <c r="G38" t="s">
        <v>670</v>
      </c>
    </row>
    <row r="39" spans="1:7" x14ac:dyDescent="0.25">
      <c r="A39" t="s">
        <v>706</v>
      </c>
      <c r="B39" t="s">
        <v>149</v>
      </c>
      <c r="C39" t="s">
        <v>495</v>
      </c>
      <c r="D39" s="1">
        <v>44980</v>
      </c>
      <c r="E39">
        <v>4126.97</v>
      </c>
      <c r="F39" t="s">
        <v>672</v>
      </c>
      <c r="G39" t="s">
        <v>670</v>
      </c>
    </row>
    <row r="40" spans="1:7" x14ac:dyDescent="0.25">
      <c r="A40" t="s">
        <v>707</v>
      </c>
      <c r="B40" t="s">
        <v>110</v>
      </c>
      <c r="C40" t="s">
        <v>496</v>
      </c>
      <c r="D40" s="1">
        <v>45033</v>
      </c>
      <c r="E40">
        <v>2976.02</v>
      </c>
      <c r="F40" t="s">
        <v>664</v>
      </c>
      <c r="G40" t="s">
        <v>670</v>
      </c>
    </row>
    <row r="41" spans="1:7" x14ac:dyDescent="0.25">
      <c r="A41" t="s">
        <v>708</v>
      </c>
      <c r="B41" t="s">
        <v>65</v>
      </c>
      <c r="C41" t="s">
        <v>497</v>
      </c>
      <c r="D41" s="1">
        <v>45012</v>
      </c>
      <c r="E41">
        <v>695.36</v>
      </c>
      <c r="F41" t="s">
        <v>675</v>
      </c>
      <c r="G41" t="s">
        <v>670</v>
      </c>
    </row>
    <row r="42" spans="1:7" x14ac:dyDescent="0.25">
      <c r="A42" t="s">
        <v>709</v>
      </c>
      <c r="B42" t="s">
        <v>43</v>
      </c>
      <c r="C42" t="s">
        <v>498</v>
      </c>
      <c r="D42" s="1">
        <v>44927</v>
      </c>
      <c r="E42">
        <v>3349.18</v>
      </c>
      <c r="F42" t="s">
        <v>672</v>
      </c>
      <c r="G42" t="s">
        <v>667</v>
      </c>
    </row>
    <row r="43" spans="1:7" x14ac:dyDescent="0.25">
      <c r="A43" t="s">
        <v>710</v>
      </c>
      <c r="B43" t="s">
        <v>147</v>
      </c>
      <c r="C43" t="s">
        <v>499</v>
      </c>
      <c r="D43" s="1">
        <v>45006</v>
      </c>
      <c r="E43">
        <v>4781.32</v>
      </c>
      <c r="F43" t="s">
        <v>664</v>
      </c>
      <c r="G43" t="s">
        <v>665</v>
      </c>
    </row>
    <row r="44" spans="1:7" x14ac:dyDescent="0.25">
      <c r="A44" t="s">
        <v>711</v>
      </c>
      <c r="B44" t="s">
        <v>142</v>
      </c>
      <c r="C44" t="s">
        <v>500</v>
      </c>
      <c r="D44" s="1">
        <v>45014</v>
      </c>
      <c r="E44">
        <v>3207.25</v>
      </c>
      <c r="F44" t="s">
        <v>664</v>
      </c>
      <c r="G44" t="s">
        <v>670</v>
      </c>
    </row>
    <row r="45" spans="1:7" x14ac:dyDescent="0.25">
      <c r="A45" t="s">
        <v>712</v>
      </c>
      <c r="B45" t="s">
        <v>135</v>
      </c>
      <c r="C45" t="s">
        <v>501</v>
      </c>
      <c r="D45" s="1">
        <v>45189</v>
      </c>
      <c r="E45">
        <v>4186.3500000000004</v>
      </c>
      <c r="F45" t="s">
        <v>664</v>
      </c>
      <c r="G45" t="s">
        <v>667</v>
      </c>
    </row>
    <row r="46" spans="1:7" x14ac:dyDescent="0.25">
      <c r="A46" t="s">
        <v>713</v>
      </c>
      <c r="B46" t="s">
        <v>65</v>
      </c>
      <c r="C46" t="s">
        <v>502</v>
      </c>
      <c r="D46" s="1">
        <v>45197</v>
      </c>
      <c r="E46">
        <v>4478.93</v>
      </c>
      <c r="F46" t="s">
        <v>675</v>
      </c>
      <c r="G46" t="s">
        <v>667</v>
      </c>
    </row>
    <row r="47" spans="1:7" x14ac:dyDescent="0.25">
      <c r="A47" t="s">
        <v>714</v>
      </c>
      <c r="B47" t="s">
        <v>94</v>
      </c>
      <c r="C47" t="s">
        <v>503</v>
      </c>
      <c r="D47" s="1">
        <v>45280</v>
      </c>
      <c r="E47">
        <v>1526.36</v>
      </c>
      <c r="F47" t="s">
        <v>675</v>
      </c>
      <c r="G47" t="s">
        <v>667</v>
      </c>
    </row>
    <row r="48" spans="1:7" x14ac:dyDescent="0.25">
      <c r="A48" t="s">
        <v>715</v>
      </c>
      <c r="B48" t="s">
        <v>138</v>
      </c>
      <c r="C48" t="s">
        <v>504</v>
      </c>
      <c r="D48" s="1">
        <v>45048</v>
      </c>
      <c r="E48">
        <v>1454.2</v>
      </c>
      <c r="F48" t="s">
        <v>664</v>
      </c>
      <c r="G48" t="s">
        <v>670</v>
      </c>
    </row>
    <row r="49" spans="1:7" x14ac:dyDescent="0.25">
      <c r="A49" t="s">
        <v>716</v>
      </c>
      <c r="B49" t="s">
        <v>13</v>
      </c>
      <c r="C49" t="s">
        <v>505</v>
      </c>
      <c r="D49" s="1">
        <v>44942</v>
      </c>
      <c r="E49">
        <v>3249.41</v>
      </c>
      <c r="F49" t="s">
        <v>672</v>
      </c>
      <c r="G49" t="s">
        <v>670</v>
      </c>
    </row>
    <row r="50" spans="1:7" x14ac:dyDescent="0.25">
      <c r="A50" t="s">
        <v>717</v>
      </c>
      <c r="B50" t="s">
        <v>43</v>
      </c>
      <c r="C50" t="s">
        <v>506</v>
      </c>
      <c r="D50" s="1">
        <v>45046</v>
      </c>
      <c r="E50">
        <v>2349.63</v>
      </c>
      <c r="F50" t="s">
        <v>672</v>
      </c>
      <c r="G50" t="s">
        <v>665</v>
      </c>
    </row>
    <row r="51" spans="1:7" x14ac:dyDescent="0.25">
      <c r="A51" t="s">
        <v>718</v>
      </c>
      <c r="B51" t="s">
        <v>171</v>
      </c>
      <c r="C51" t="s">
        <v>507</v>
      </c>
      <c r="D51" s="1">
        <v>45154</v>
      </c>
      <c r="E51">
        <v>4279.38</v>
      </c>
      <c r="F51" t="s">
        <v>675</v>
      </c>
      <c r="G51" t="s">
        <v>670</v>
      </c>
    </row>
    <row r="52" spans="1:7" x14ac:dyDescent="0.25">
      <c r="A52" t="s">
        <v>719</v>
      </c>
      <c r="B52" t="s">
        <v>36</v>
      </c>
      <c r="C52" t="s">
        <v>508</v>
      </c>
      <c r="D52" s="1">
        <v>44961</v>
      </c>
      <c r="E52">
        <v>4550.1000000000004</v>
      </c>
      <c r="F52" t="s">
        <v>672</v>
      </c>
      <c r="G52" t="s">
        <v>670</v>
      </c>
    </row>
    <row r="53" spans="1:7" x14ac:dyDescent="0.25">
      <c r="A53" t="s">
        <v>720</v>
      </c>
      <c r="B53" t="s">
        <v>85</v>
      </c>
      <c r="C53" t="s">
        <v>509</v>
      </c>
      <c r="D53" s="1">
        <v>45119</v>
      </c>
      <c r="E53">
        <v>2090.4</v>
      </c>
      <c r="F53" t="s">
        <v>675</v>
      </c>
      <c r="G53" t="s">
        <v>667</v>
      </c>
    </row>
    <row r="54" spans="1:7" x14ac:dyDescent="0.25">
      <c r="A54" t="s">
        <v>721</v>
      </c>
      <c r="B54" t="s">
        <v>113</v>
      </c>
      <c r="C54" t="s">
        <v>510</v>
      </c>
      <c r="D54" s="1">
        <v>44969</v>
      </c>
      <c r="E54">
        <v>1565.92</v>
      </c>
      <c r="F54" t="s">
        <v>664</v>
      </c>
      <c r="G54" t="s">
        <v>665</v>
      </c>
    </row>
    <row r="55" spans="1:7" x14ac:dyDescent="0.25">
      <c r="A55" t="s">
        <v>722</v>
      </c>
      <c r="B55" t="s">
        <v>85</v>
      </c>
      <c r="C55" t="s">
        <v>511</v>
      </c>
      <c r="D55" s="1">
        <v>45276</v>
      </c>
      <c r="E55">
        <v>4012.36</v>
      </c>
      <c r="F55" t="s">
        <v>675</v>
      </c>
      <c r="G55" t="s">
        <v>670</v>
      </c>
    </row>
    <row r="56" spans="1:7" x14ac:dyDescent="0.25">
      <c r="A56" t="s">
        <v>723</v>
      </c>
      <c r="B56" t="s">
        <v>22</v>
      </c>
      <c r="C56" t="s">
        <v>512</v>
      </c>
      <c r="D56" s="1">
        <v>45205</v>
      </c>
      <c r="E56">
        <v>1736.63</v>
      </c>
      <c r="F56" t="s">
        <v>675</v>
      </c>
      <c r="G56" t="s">
        <v>670</v>
      </c>
    </row>
    <row r="57" spans="1:7" x14ac:dyDescent="0.25">
      <c r="A57" t="s">
        <v>724</v>
      </c>
      <c r="B57" t="s">
        <v>181</v>
      </c>
      <c r="C57" t="s">
        <v>513</v>
      </c>
      <c r="D57" s="1">
        <v>44928</v>
      </c>
      <c r="E57">
        <v>4201.76</v>
      </c>
      <c r="F57" t="s">
        <v>664</v>
      </c>
      <c r="G57" t="s">
        <v>667</v>
      </c>
    </row>
    <row r="58" spans="1:7" x14ac:dyDescent="0.25">
      <c r="A58" t="s">
        <v>725</v>
      </c>
      <c r="B58" t="s">
        <v>126</v>
      </c>
      <c r="C58" t="s">
        <v>514</v>
      </c>
      <c r="D58" s="1">
        <v>45031</v>
      </c>
      <c r="E58">
        <v>2406.8200000000002</v>
      </c>
      <c r="F58" t="s">
        <v>672</v>
      </c>
      <c r="G58" t="s">
        <v>667</v>
      </c>
    </row>
    <row r="59" spans="1:7" x14ac:dyDescent="0.25">
      <c r="A59" t="s">
        <v>726</v>
      </c>
      <c r="B59" t="s">
        <v>138</v>
      </c>
      <c r="C59" t="s">
        <v>515</v>
      </c>
      <c r="D59" s="1">
        <v>45055</v>
      </c>
      <c r="E59">
        <v>3503.97</v>
      </c>
      <c r="F59" t="s">
        <v>675</v>
      </c>
      <c r="G59" t="s">
        <v>670</v>
      </c>
    </row>
    <row r="60" spans="1:7" x14ac:dyDescent="0.25">
      <c r="A60" t="s">
        <v>727</v>
      </c>
      <c r="B60" t="s">
        <v>123</v>
      </c>
      <c r="C60" t="s">
        <v>516</v>
      </c>
      <c r="D60" s="1">
        <v>44994</v>
      </c>
      <c r="E60">
        <v>929.91</v>
      </c>
      <c r="F60" t="s">
        <v>675</v>
      </c>
      <c r="G60" t="s">
        <v>665</v>
      </c>
    </row>
    <row r="61" spans="1:7" x14ac:dyDescent="0.25">
      <c r="A61" t="s">
        <v>728</v>
      </c>
      <c r="B61" t="s">
        <v>98</v>
      </c>
      <c r="C61" t="s">
        <v>517</v>
      </c>
      <c r="D61" s="1">
        <v>45252</v>
      </c>
      <c r="E61">
        <v>3307.37</v>
      </c>
      <c r="F61" t="s">
        <v>664</v>
      </c>
      <c r="G61" t="s">
        <v>665</v>
      </c>
    </row>
    <row r="62" spans="1:7" x14ac:dyDescent="0.25">
      <c r="A62" t="s">
        <v>729</v>
      </c>
      <c r="B62" t="s">
        <v>113</v>
      </c>
      <c r="C62" t="s">
        <v>518</v>
      </c>
      <c r="D62" s="1">
        <v>44941</v>
      </c>
      <c r="E62">
        <v>2532.9499999999998</v>
      </c>
      <c r="F62" t="s">
        <v>672</v>
      </c>
      <c r="G62" t="s">
        <v>667</v>
      </c>
    </row>
    <row r="63" spans="1:7" x14ac:dyDescent="0.25">
      <c r="A63" t="s">
        <v>730</v>
      </c>
      <c r="B63" t="s">
        <v>73</v>
      </c>
      <c r="C63" t="s">
        <v>519</v>
      </c>
      <c r="D63" s="1">
        <v>45091</v>
      </c>
      <c r="E63">
        <v>3139.74</v>
      </c>
      <c r="F63" t="s">
        <v>675</v>
      </c>
      <c r="G63" t="s">
        <v>667</v>
      </c>
    </row>
    <row r="64" spans="1:7" x14ac:dyDescent="0.25">
      <c r="A64" t="s">
        <v>731</v>
      </c>
      <c r="B64" t="s">
        <v>184</v>
      </c>
      <c r="C64" t="s">
        <v>520</v>
      </c>
      <c r="D64" s="1">
        <v>45106</v>
      </c>
      <c r="E64">
        <v>1256.06</v>
      </c>
      <c r="F64" t="s">
        <v>664</v>
      </c>
      <c r="G64" t="s">
        <v>670</v>
      </c>
    </row>
    <row r="65" spans="1:7" x14ac:dyDescent="0.25">
      <c r="A65" t="s">
        <v>732</v>
      </c>
      <c r="B65" t="s">
        <v>145</v>
      </c>
      <c r="C65" t="s">
        <v>521</v>
      </c>
      <c r="D65" s="1">
        <v>45077</v>
      </c>
      <c r="E65">
        <v>3815.93</v>
      </c>
      <c r="F65" t="s">
        <v>675</v>
      </c>
      <c r="G65" t="s">
        <v>667</v>
      </c>
    </row>
    <row r="66" spans="1:7" x14ac:dyDescent="0.25">
      <c r="A66" t="s">
        <v>733</v>
      </c>
      <c r="B66" t="s">
        <v>140</v>
      </c>
      <c r="C66" t="s">
        <v>522</v>
      </c>
      <c r="D66" s="1">
        <v>45040</v>
      </c>
      <c r="E66">
        <v>4382.59</v>
      </c>
      <c r="F66" t="s">
        <v>664</v>
      </c>
      <c r="G66" t="s">
        <v>670</v>
      </c>
    </row>
    <row r="67" spans="1:7" x14ac:dyDescent="0.25">
      <c r="A67" t="s">
        <v>734</v>
      </c>
      <c r="B67" t="s">
        <v>140</v>
      </c>
      <c r="C67" t="s">
        <v>523</v>
      </c>
      <c r="D67" s="1">
        <v>45056</v>
      </c>
      <c r="E67">
        <v>1475.33</v>
      </c>
      <c r="F67" t="s">
        <v>672</v>
      </c>
      <c r="G67" t="s">
        <v>665</v>
      </c>
    </row>
    <row r="68" spans="1:7" x14ac:dyDescent="0.25">
      <c r="A68" t="s">
        <v>735</v>
      </c>
      <c r="B68" t="s">
        <v>165</v>
      </c>
      <c r="C68" t="s">
        <v>524</v>
      </c>
      <c r="D68" s="1">
        <v>45148</v>
      </c>
      <c r="E68">
        <v>930.72</v>
      </c>
      <c r="F68" t="s">
        <v>672</v>
      </c>
      <c r="G68" t="s">
        <v>665</v>
      </c>
    </row>
    <row r="69" spans="1:7" x14ac:dyDescent="0.25">
      <c r="A69" t="s">
        <v>736</v>
      </c>
      <c r="B69" t="s">
        <v>149</v>
      </c>
      <c r="C69" t="s">
        <v>525</v>
      </c>
      <c r="D69" s="1">
        <v>44999</v>
      </c>
      <c r="E69">
        <v>606.37</v>
      </c>
      <c r="F69" t="s">
        <v>672</v>
      </c>
      <c r="G69" t="s">
        <v>670</v>
      </c>
    </row>
    <row r="70" spans="1:7" x14ac:dyDescent="0.25">
      <c r="A70" t="s">
        <v>737</v>
      </c>
      <c r="B70" t="s">
        <v>73</v>
      </c>
      <c r="C70" t="s">
        <v>526</v>
      </c>
      <c r="D70" s="1">
        <v>45014</v>
      </c>
      <c r="E70">
        <v>3388.87</v>
      </c>
      <c r="F70" t="s">
        <v>672</v>
      </c>
      <c r="G70" t="s">
        <v>667</v>
      </c>
    </row>
    <row r="71" spans="1:7" x14ac:dyDescent="0.25">
      <c r="A71" t="s">
        <v>738</v>
      </c>
      <c r="B71" t="s">
        <v>30</v>
      </c>
      <c r="C71" t="s">
        <v>527</v>
      </c>
      <c r="D71" s="1">
        <v>45164</v>
      </c>
      <c r="E71">
        <v>3231.92</v>
      </c>
      <c r="F71" t="s">
        <v>675</v>
      </c>
      <c r="G71" t="s">
        <v>665</v>
      </c>
    </row>
    <row r="72" spans="1:7" x14ac:dyDescent="0.25">
      <c r="A72" t="s">
        <v>739</v>
      </c>
      <c r="B72" t="s">
        <v>13</v>
      </c>
      <c r="C72" t="s">
        <v>528</v>
      </c>
      <c r="D72" s="1">
        <v>44952</v>
      </c>
      <c r="E72">
        <v>2960.14</v>
      </c>
      <c r="F72" t="s">
        <v>675</v>
      </c>
      <c r="G72" t="s">
        <v>667</v>
      </c>
    </row>
    <row r="73" spans="1:7" x14ac:dyDescent="0.25">
      <c r="A73" t="s">
        <v>740</v>
      </c>
      <c r="B73" t="s">
        <v>140</v>
      </c>
      <c r="C73" t="s">
        <v>529</v>
      </c>
      <c r="D73" s="1">
        <v>45089</v>
      </c>
      <c r="E73">
        <v>1543.76</v>
      </c>
      <c r="F73" t="s">
        <v>672</v>
      </c>
      <c r="G73" t="s">
        <v>665</v>
      </c>
    </row>
    <row r="74" spans="1:7" x14ac:dyDescent="0.25">
      <c r="A74" t="s">
        <v>741</v>
      </c>
      <c r="B74" t="s">
        <v>157</v>
      </c>
      <c r="C74" t="s">
        <v>530</v>
      </c>
      <c r="D74" s="1">
        <v>45284</v>
      </c>
      <c r="E74">
        <v>2259.08</v>
      </c>
      <c r="F74" t="s">
        <v>672</v>
      </c>
      <c r="G74" t="s">
        <v>670</v>
      </c>
    </row>
    <row r="75" spans="1:7" x14ac:dyDescent="0.25">
      <c r="A75" t="s">
        <v>742</v>
      </c>
      <c r="B75" t="s">
        <v>65</v>
      </c>
      <c r="C75" t="s">
        <v>531</v>
      </c>
      <c r="D75" s="1">
        <v>45130</v>
      </c>
      <c r="E75">
        <v>3175.14</v>
      </c>
      <c r="F75" t="s">
        <v>672</v>
      </c>
      <c r="G75" t="s">
        <v>670</v>
      </c>
    </row>
    <row r="76" spans="1:7" x14ac:dyDescent="0.25">
      <c r="A76" t="s">
        <v>743</v>
      </c>
      <c r="B76" t="s">
        <v>165</v>
      </c>
      <c r="C76" t="s">
        <v>532</v>
      </c>
      <c r="D76" s="1">
        <v>45054</v>
      </c>
      <c r="E76">
        <v>2735.45</v>
      </c>
      <c r="F76" t="s">
        <v>675</v>
      </c>
      <c r="G76" t="s">
        <v>670</v>
      </c>
    </row>
    <row r="77" spans="1:7" x14ac:dyDescent="0.25">
      <c r="A77" t="s">
        <v>744</v>
      </c>
      <c r="B77" t="s">
        <v>168</v>
      </c>
      <c r="C77" t="s">
        <v>533</v>
      </c>
      <c r="D77" s="1">
        <v>45257</v>
      </c>
      <c r="E77">
        <v>4945.03</v>
      </c>
      <c r="F77" t="s">
        <v>672</v>
      </c>
      <c r="G77" t="s">
        <v>665</v>
      </c>
    </row>
    <row r="78" spans="1:7" x14ac:dyDescent="0.25">
      <c r="A78" t="s">
        <v>745</v>
      </c>
      <c r="B78" t="s">
        <v>129</v>
      </c>
      <c r="C78" t="s">
        <v>534</v>
      </c>
      <c r="D78" s="1">
        <v>45274</v>
      </c>
      <c r="E78">
        <v>1113.98</v>
      </c>
      <c r="F78" t="s">
        <v>672</v>
      </c>
      <c r="G78" t="s">
        <v>667</v>
      </c>
    </row>
    <row r="79" spans="1:7" x14ac:dyDescent="0.25">
      <c r="A79" t="s">
        <v>746</v>
      </c>
      <c r="B79" t="s">
        <v>75</v>
      </c>
      <c r="C79" t="s">
        <v>535</v>
      </c>
      <c r="D79" s="1">
        <v>45186</v>
      </c>
      <c r="E79">
        <v>3628.15</v>
      </c>
      <c r="F79" t="s">
        <v>672</v>
      </c>
      <c r="G79" t="s">
        <v>667</v>
      </c>
    </row>
    <row r="80" spans="1:7" x14ac:dyDescent="0.25">
      <c r="A80" t="s">
        <v>747</v>
      </c>
      <c r="B80" t="s">
        <v>73</v>
      </c>
      <c r="C80" t="s">
        <v>536</v>
      </c>
      <c r="D80" s="1">
        <v>45286</v>
      </c>
      <c r="E80">
        <v>2319.4299999999998</v>
      </c>
      <c r="F80" t="s">
        <v>664</v>
      </c>
      <c r="G80" t="s">
        <v>667</v>
      </c>
    </row>
    <row r="81" spans="1:7" x14ac:dyDescent="0.25">
      <c r="A81" t="s">
        <v>748</v>
      </c>
      <c r="B81" t="s">
        <v>135</v>
      </c>
      <c r="C81" t="s">
        <v>537</v>
      </c>
      <c r="D81" s="1">
        <v>45103</v>
      </c>
      <c r="E81">
        <v>2426.9</v>
      </c>
      <c r="F81" t="s">
        <v>672</v>
      </c>
      <c r="G81" t="s">
        <v>665</v>
      </c>
    </row>
    <row r="82" spans="1:7" x14ac:dyDescent="0.25">
      <c r="A82" t="s">
        <v>749</v>
      </c>
      <c r="B82" t="s">
        <v>174</v>
      </c>
      <c r="C82" t="s">
        <v>538</v>
      </c>
      <c r="D82" s="1">
        <v>44932</v>
      </c>
      <c r="E82">
        <v>3729.19</v>
      </c>
      <c r="F82" t="s">
        <v>664</v>
      </c>
      <c r="G82" t="s">
        <v>665</v>
      </c>
    </row>
    <row r="83" spans="1:7" x14ac:dyDescent="0.25">
      <c r="A83" t="s">
        <v>750</v>
      </c>
      <c r="B83" t="s">
        <v>22</v>
      </c>
      <c r="C83" t="s">
        <v>539</v>
      </c>
      <c r="D83" s="1">
        <v>44946</v>
      </c>
      <c r="E83">
        <v>3615.96</v>
      </c>
      <c r="F83" t="s">
        <v>664</v>
      </c>
      <c r="G83" t="s">
        <v>665</v>
      </c>
    </row>
    <row r="84" spans="1:7" x14ac:dyDescent="0.25">
      <c r="A84" t="s">
        <v>751</v>
      </c>
      <c r="B84" t="s">
        <v>184</v>
      </c>
      <c r="C84" t="s">
        <v>540</v>
      </c>
      <c r="D84" s="1">
        <v>45237</v>
      </c>
      <c r="E84">
        <v>4960.6499999999996</v>
      </c>
      <c r="F84" t="s">
        <v>672</v>
      </c>
      <c r="G84" t="s">
        <v>665</v>
      </c>
    </row>
    <row r="85" spans="1:7" x14ac:dyDescent="0.25">
      <c r="A85" t="s">
        <v>752</v>
      </c>
      <c r="B85" t="s">
        <v>145</v>
      </c>
      <c r="C85" t="s">
        <v>541</v>
      </c>
      <c r="D85" s="1">
        <v>45077</v>
      </c>
      <c r="E85">
        <v>1077.77</v>
      </c>
      <c r="F85" t="s">
        <v>664</v>
      </c>
      <c r="G85" t="s">
        <v>665</v>
      </c>
    </row>
    <row r="86" spans="1:7" x14ac:dyDescent="0.25">
      <c r="A86" t="s">
        <v>753</v>
      </c>
      <c r="B86" t="s">
        <v>110</v>
      </c>
      <c r="C86" t="s">
        <v>542</v>
      </c>
      <c r="D86" s="1">
        <v>44975</v>
      </c>
      <c r="E86">
        <v>968.49</v>
      </c>
      <c r="F86" t="s">
        <v>672</v>
      </c>
      <c r="G86" t="s">
        <v>667</v>
      </c>
    </row>
    <row r="87" spans="1:7" x14ac:dyDescent="0.25">
      <c r="A87" t="s">
        <v>754</v>
      </c>
      <c r="B87" t="s">
        <v>87</v>
      </c>
      <c r="C87" t="s">
        <v>543</v>
      </c>
      <c r="D87" s="1">
        <v>45228</v>
      </c>
      <c r="E87">
        <v>3759.52</v>
      </c>
      <c r="F87" t="s">
        <v>675</v>
      </c>
      <c r="G87" t="s">
        <v>665</v>
      </c>
    </row>
    <row r="88" spans="1:7" x14ac:dyDescent="0.25">
      <c r="A88" t="s">
        <v>755</v>
      </c>
      <c r="B88" t="s">
        <v>120</v>
      </c>
      <c r="C88" t="s">
        <v>544</v>
      </c>
      <c r="D88" s="1">
        <v>45218</v>
      </c>
      <c r="E88">
        <v>3102.74</v>
      </c>
      <c r="F88" t="s">
        <v>675</v>
      </c>
      <c r="G88" t="s">
        <v>665</v>
      </c>
    </row>
    <row r="89" spans="1:7" x14ac:dyDescent="0.25">
      <c r="A89" t="s">
        <v>756</v>
      </c>
      <c r="B89" t="s">
        <v>57</v>
      </c>
      <c r="C89" t="s">
        <v>545</v>
      </c>
      <c r="D89" s="1">
        <v>45048</v>
      </c>
      <c r="E89">
        <v>1733.72</v>
      </c>
      <c r="F89" t="s">
        <v>675</v>
      </c>
      <c r="G89" t="s">
        <v>667</v>
      </c>
    </row>
    <row r="90" spans="1:7" x14ac:dyDescent="0.25">
      <c r="A90" t="s">
        <v>757</v>
      </c>
      <c r="B90" t="s">
        <v>129</v>
      </c>
      <c r="C90" t="s">
        <v>546</v>
      </c>
      <c r="D90" s="1">
        <v>44971</v>
      </c>
      <c r="E90">
        <v>857.39</v>
      </c>
      <c r="F90" t="s">
        <v>675</v>
      </c>
      <c r="G90" t="s">
        <v>665</v>
      </c>
    </row>
    <row r="91" spans="1:7" x14ac:dyDescent="0.25">
      <c r="A91" t="s">
        <v>758</v>
      </c>
      <c r="B91" t="s">
        <v>120</v>
      </c>
      <c r="C91" t="s">
        <v>547</v>
      </c>
      <c r="D91" s="1">
        <v>45078</v>
      </c>
      <c r="E91">
        <v>885.46</v>
      </c>
      <c r="F91" t="s">
        <v>664</v>
      </c>
      <c r="G91" t="s">
        <v>667</v>
      </c>
    </row>
    <row r="92" spans="1:7" x14ac:dyDescent="0.25">
      <c r="A92" t="s">
        <v>759</v>
      </c>
      <c r="B92" t="s">
        <v>65</v>
      </c>
      <c r="C92" t="s">
        <v>548</v>
      </c>
      <c r="D92" s="1">
        <v>45088</v>
      </c>
      <c r="E92">
        <v>4523.8599999999997</v>
      </c>
      <c r="F92" t="s">
        <v>672</v>
      </c>
      <c r="G92" t="s">
        <v>667</v>
      </c>
    </row>
    <row r="93" spans="1:7" x14ac:dyDescent="0.25">
      <c r="A93" t="s">
        <v>760</v>
      </c>
      <c r="B93" t="s">
        <v>120</v>
      </c>
      <c r="C93" t="s">
        <v>549</v>
      </c>
      <c r="D93" s="1">
        <v>44956</v>
      </c>
      <c r="E93">
        <v>1363.4</v>
      </c>
      <c r="F93" t="s">
        <v>672</v>
      </c>
      <c r="G93" t="s">
        <v>670</v>
      </c>
    </row>
    <row r="94" spans="1:7" x14ac:dyDescent="0.25">
      <c r="A94" t="s">
        <v>761</v>
      </c>
      <c r="B94" t="s">
        <v>142</v>
      </c>
      <c r="C94" t="s">
        <v>550</v>
      </c>
      <c r="D94" s="1">
        <v>45025</v>
      </c>
      <c r="E94">
        <v>1955.17</v>
      </c>
      <c r="F94" t="s">
        <v>672</v>
      </c>
      <c r="G94" t="s">
        <v>670</v>
      </c>
    </row>
    <row r="95" spans="1:7" x14ac:dyDescent="0.25">
      <c r="A95" t="s">
        <v>762</v>
      </c>
      <c r="B95" t="s">
        <v>160</v>
      </c>
      <c r="C95" t="s">
        <v>551</v>
      </c>
      <c r="D95" s="1">
        <v>45024</v>
      </c>
      <c r="E95">
        <v>1519.95</v>
      </c>
      <c r="F95" t="s">
        <v>675</v>
      </c>
      <c r="G95" t="s">
        <v>670</v>
      </c>
    </row>
    <row r="96" spans="1:7" x14ac:dyDescent="0.25">
      <c r="A96" t="s">
        <v>763</v>
      </c>
      <c r="B96" t="s">
        <v>53</v>
      </c>
      <c r="C96" t="s">
        <v>552</v>
      </c>
      <c r="D96" s="1">
        <v>45055</v>
      </c>
      <c r="E96">
        <v>2097.48</v>
      </c>
      <c r="F96" t="s">
        <v>675</v>
      </c>
      <c r="G96" t="s">
        <v>670</v>
      </c>
    </row>
    <row r="97" spans="1:7" x14ac:dyDescent="0.25">
      <c r="A97" t="s">
        <v>764</v>
      </c>
      <c r="B97" t="s">
        <v>36</v>
      </c>
      <c r="C97" t="s">
        <v>553</v>
      </c>
      <c r="D97" s="1">
        <v>45114</v>
      </c>
      <c r="E97">
        <v>812.41</v>
      </c>
      <c r="F97" t="s">
        <v>672</v>
      </c>
      <c r="G97" t="s">
        <v>665</v>
      </c>
    </row>
    <row r="98" spans="1:7" x14ac:dyDescent="0.25">
      <c r="A98" t="s">
        <v>765</v>
      </c>
      <c r="B98" t="s">
        <v>184</v>
      </c>
      <c r="C98" t="s">
        <v>554</v>
      </c>
      <c r="D98" s="1">
        <v>45052</v>
      </c>
      <c r="E98">
        <v>2835.77</v>
      </c>
      <c r="F98" t="s">
        <v>675</v>
      </c>
      <c r="G98" t="s">
        <v>670</v>
      </c>
    </row>
    <row r="99" spans="1:7" x14ac:dyDescent="0.25">
      <c r="A99" t="s">
        <v>766</v>
      </c>
      <c r="B99" t="s">
        <v>171</v>
      </c>
      <c r="C99" t="s">
        <v>555</v>
      </c>
      <c r="D99" s="1">
        <v>45002</v>
      </c>
      <c r="E99">
        <v>804.26</v>
      </c>
      <c r="F99" t="s">
        <v>672</v>
      </c>
      <c r="G99" t="s">
        <v>667</v>
      </c>
    </row>
    <row r="100" spans="1:7" x14ac:dyDescent="0.25">
      <c r="A100" t="s">
        <v>767</v>
      </c>
      <c r="B100" t="s">
        <v>70</v>
      </c>
      <c r="C100" t="s">
        <v>556</v>
      </c>
      <c r="D100" s="1">
        <v>45111</v>
      </c>
      <c r="E100">
        <v>4101.6000000000004</v>
      </c>
      <c r="F100" t="s">
        <v>672</v>
      </c>
      <c r="G100" t="s">
        <v>665</v>
      </c>
    </row>
    <row r="101" spans="1:7" x14ac:dyDescent="0.25">
      <c r="A101" t="s">
        <v>768</v>
      </c>
      <c r="B101" t="s">
        <v>129</v>
      </c>
      <c r="C101" t="s">
        <v>557</v>
      </c>
      <c r="D101" s="1">
        <v>44987</v>
      </c>
      <c r="E101">
        <v>1551.7</v>
      </c>
      <c r="F101" t="s">
        <v>672</v>
      </c>
      <c r="G101" t="s">
        <v>670</v>
      </c>
    </row>
    <row r="102" spans="1:7" x14ac:dyDescent="0.25">
      <c r="A102" t="s">
        <v>769</v>
      </c>
      <c r="B102" t="s">
        <v>147</v>
      </c>
      <c r="C102" t="s">
        <v>558</v>
      </c>
      <c r="D102" s="1">
        <v>45190</v>
      </c>
      <c r="E102">
        <v>2930.05</v>
      </c>
      <c r="F102" t="s">
        <v>672</v>
      </c>
      <c r="G102" t="s">
        <v>667</v>
      </c>
    </row>
    <row r="103" spans="1:7" x14ac:dyDescent="0.25">
      <c r="A103" t="s">
        <v>770</v>
      </c>
      <c r="B103" t="s">
        <v>116</v>
      </c>
      <c r="C103" t="s">
        <v>559</v>
      </c>
      <c r="D103" s="1">
        <v>45224</v>
      </c>
      <c r="E103">
        <v>4460.3599999999997</v>
      </c>
      <c r="F103" t="s">
        <v>672</v>
      </c>
      <c r="G103" t="s">
        <v>665</v>
      </c>
    </row>
    <row r="104" spans="1:7" x14ac:dyDescent="0.25">
      <c r="A104" t="s">
        <v>771</v>
      </c>
      <c r="B104" t="s">
        <v>102</v>
      </c>
      <c r="C104" t="s">
        <v>560</v>
      </c>
      <c r="D104" s="1">
        <v>44950</v>
      </c>
      <c r="E104">
        <v>3428.95</v>
      </c>
      <c r="F104" t="s">
        <v>672</v>
      </c>
      <c r="G104" t="s">
        <v>665</v>
      </c>
    </row>
    <row r="105" spans="1:7" x14ac:dyDescent="0.25">
      <c r="A105" t="s">
        <v>772</v>
      </c>
      <c r="B105" t="s">
        <v>147</v>
      </c>
      <c r="C105" t="s">
        <v>561</v>
      </c>
      <c r="D105" s="1">
        <v>45034</v>
      </c>
      <c r="E105">
        <v>2898.31</v>
      </c>
      <c r="F105" t="s">
        <v>672</v>
      </c>
      <c r="G105" t="s">
        <v>670</v>
      </c>
    </row>
    <row r="106" spans="1:7" x14ac:dyDescent="0.25">
      <c r="A106" t="s">
        <v>773</v>
      </c>
      <c r="B106" t="s">
        <v>65</v>
      </c>
      <c r="C106" t="s">
        <v>562</v>
      </c>
      <c r="D106" s="1">
        <v>45152</v>
      </c>
      <c r="E106">
        <v>1959.5</v>
      </c>
      <c r="F106" t="s">
        <v>675</v>
      </c>
      <c r="G106" t="s">
        <v>665</v>
      </c>
    </row>
    <row r="107" spans="1:7" x14ac:dyDescent="0.25">
      <c r="A107" t="s">
        <v>774</v>
      </c>
      <c r="B107" t="s">
        <v>149</v>
      </c>
      <c r="C107" t="s">
        <v>563</v>
      </c>
      <c r="D107" s="1">
        <v>45228</v>
      </c>
      <c r="E107">
        <v>1998.51</v>
      </c>
      <c r="F107" t="s">
        <v>672</v>
      </c>
      <c r="G107" t="s">
        <v>667</v>
      </c>
    </row>
    <row r="108" spans="1:7" x14ac:dyDescent="0.25">
      <c r="A108" t="s">
        <v>775</v>
      </c>
      <c r="B108" t="s">
        <v>62</v>
      </c>
      <c r="C108" t="s">
        <v>564</v>
      </c>
      <c r="D108" s="1">
        <v>45033</v>
      </c>
      <c r="E108">
        <v>3512.69</v>
      </c>
      <c r="F108" t="s">
        <v>672</v>
      </c>
      <c r="G108" t="s">
        <v>665</v>
      </c>
    </row>
    <row r="109" spans="1:7" x14ac:dyDescent="0.25">
      <c r="A109" t="s">
        <v>776</v>
      </c>
      <c r="B109" t="s">
        <v>113</v>
      </c>
      <c r="C109" t="s">
        <v>565</v>
      </c>
      <c r="D109" s="1">
        <v>45037</v>
      </c>
      <c r="E109">
        <v>4973.63</v>
      </c>
      <c r="F109" t="s">
        <v>675</v>
      </c>
      <c r="G109" t="s">
        <v>667</v>
      </c>
    </row>
    <row r="110" spans="1:7" x14ac:dyDescent="0.25">
      <c r="A110" t="s">
        <v>777</v>
      </c>
      <c r="B110" t="s">
        <v>145</v>
      </c>
      <c r="C110" t="s">
        <v>566</v>
      </c>
      <c r="D110" s="1">
        <v>45136</v>
      </c>
      <c r="E110">
        <v>3478.28</v>
      </c>
      <c r="F110" t="s">
        <v>675</v>
      </c>
      <c r="G110" t="s">
        <v>665</v>
      </c>
    </row>
    <row r="111" spans="1:7" x14ac:dyDescent="0.25">
      <c r="A111" t="s">
        <v>778</v>
      </c>
      <c r="B111" t="s">
        <v>181</v>
      </c>
      <c r="C111" t="s">
        <v>567</v>
      </c>
      <c r="D111" s="1">
        <v>45126</v>
      </c>
      <c r="E111">
        <v>3010.03</v>
      </c>
      <c r="F111" t="s">
        <v>675</v>
      </c>
      <c r="G111" t="s">
        <v>670</v>
      </c>
    </row>
    <row r="112" spans="1:7" x14ac:dyDescent="0.25">
      <c r="A112" t="s">
        <v>779</v>
      </c>
      <c r="B112" t="s">
        <v>145</v>
      </c>
      <c r="C112" t="s">
        <v>568</v>
      </c>
      <c r="D112" s="1">
        <v>45068</v>
      </c>
      <c r="E112">
        <v>3787.93</v>
      </c>
      <c r="F112" t="s">
        <v>672</v>
      </c>
      <c r="G112" t="s">
        <v>667</v>
      </c>
    </row>
    <row r="113" spans="1:7" x14ac:dyDescent="0.25">
      <c r="A113" t="s">
        <v>780</v>
      </c>
      <c r="B113" t="s">
        <v>178</v>
      </c>
      <c r="C113" t="s">
        <v>569</v>
      </c>
      <c r="D113" s="1">
        <v>44937</v>
      </c>
      <c r="E113">
        <v>2593.4299999999998</v>
      </c>
      <c r="F113" t="s">
        <v>664</v>
      </c>
      <c r="G113" t="s">
        <v>665</v>
      </c>
    </row>
    <row r="114" spans="1:7" x14ac:dyDescent="0.25">
      <c r="A114" t="s">
        <v>781</v>
      </c>
      <c r="B114" t="s">
        <v>147</v>
      </c>
      <c r="C114" t="s">
        <v>570</v>
      </c>
      <c r="D114" s="1">
        <v>45254</v>
      </c>
      <c r="E114">
        <v>770.64</v>
      </c>
      <c r="F114" t="s">
        <v>664</v>
      </c>
      <c r="G114" t="s">
        <v>665</v>
      </c>
    </row>
    <row r="115" spans="1:7" x14ac:dyDescent="0.25">
      <c r="A115" t="s">
        <v>782</v>
      </c>
      <c r="B115" t="s">
        <v>91</v>
      </c>
      <c r="C115" t="s">
        <v>571</v>
      </c>
      <c r="D115" s="1">
        <v>45146</v>
      </c>
      <c r="E115">
        <v>3030.34</v>
      </c>
      <c r="F115" t="s">
        <v>675</v>
      </c>
      <c r="G115" t="s">
        <v>665</v>
      </c>
    </row>
    <row r="116" spans="1:7" x14ac:dyDescent="0.25">
      <c r="A116" t="s">
        <v>783</v>
      </c>
      <c r="B116" t="s">
        <v>181</v>
      </c>
      <c r="C116" t="s">
        <v>572</v>
      </c>
      <c r="D116" s="1">
        <v>45224</v>
      </c>
      <c r="E116">
        <v>4809.3100000000004</v>
      </c>
      <c r="F116" t="s">
        <v>664</v>
      </c>
      <c r="G116" t="s">
        <v>667</v>
      </c>
    </row>
    <row r="117" spans="1:7" x14ac:dyDescent="0.25">
      <c r="A117" t="s">
        <v>784</v>
      </c>
      <c r="B117" t="s">
        <v>154</v>
      </c>
      <c r="C117" t="s">
        <v>573</v>
      </c>
      <c r="D117" s="1">
        <v>45114</v>
      </c>
      <c r="E117">
        <v>1288.8599999999999</v>
      </c>
      <c r="F117" t="s">
        <v>675</v>
      </c>
      <c r="G117" t="s">
        <v>667</v>
      </c>
    </row>
    <row r="118" spans="1:7" x14ac:dyDescent="0.25">
      <c r="A118" t="s">
        <v>785</v>
      </c>
      <c r="B118" t="s">
        <v>138</v>
      </c>
      <c r="C118" t="s">
        <v>574</v>
      </c>
      <c r="D118" s="1">
        <v>45097</v>
      </c>
      <c r="E118">
        <v>3605.02</v>
      </c>
      <c r="F118" t="s">
        <v>672</v>
      </c>
      <c r="G118" t="s">
        <v>667</v>
      </c>
    </row>
    <row r="119" spans="1:7" x14ac:dyDescent="0.25">
      <c r="A119" t="s">
        <v>786</v>
      </c>
      <c r="B119" t="s">
        <v>113</v>
      </c>
      <c r="C119" t="s">
        <v>575</v>
      </c>
      <c r="D119" s="1">
        <v>45147</v>
      </c>
      <c r="E119">
        <v>1404.2</v>
      </c>
      <c r="F119" t="s">
        <v>664</v>
      </c>
      <c r="G119" t="s">
        <v>670</v>
      </c>
    </row>
    <row r="120" spans="1:7" x14ac:dyDescent="0.25">
      <c r="A120" t="s">
        <v>787</v>
      </c>
      <c r="B120" t="s">
        <v>110</v>
      </c>
      <c r="C120" t="s">
        <v>576</v>
      </c>
      <c r="D120" s="1">
        <v>45278</v>
      </c>
      <c r="E120">
        <v>2911.22</v>
      </c>
      <c r="F120" t="s">
        <v>672</v>
      </c>
      <c r="G120" t="s">
        <v>670</v>
      </c>
    </row>
    <row r="121" spans="1:7" x14ac:dyDescent="0.25">
      <c r="A121" t="s">
        <v>788</v>
      </c>
      <c r="B121" t="s">
        <v>138</v>
      </c>
      <c r="C121" t="s">
        <v>577</v>
      </c>
      <c r="D121" s="1">
        <v>45268</v>
      </c>
      <c r="E121">
        <v>935.04</v>
      </c>
      <c r="F121" t="s">
        <v>664</v>
      </c>
      <c r="G121" t="s">
        <v>667</v>
      </c>
    </row>
    <row r="122" spans="1:7" x14ac:dyDescent="0.25">
      <c r="A122" t="s">
        <v>789</v>
      </c>
      <c r="B122" t="s">
        <v>149</v>
      </c>
      <c r="C122" t="s">
        <v>578</v>
      </c>
      <c r="D122" s="1">
        <v>45023</v>
      </c>
      <c r="E122">
        <v>2526.67</v>
      </c>
      <c r="F122" t="s">
        <v>672</v>
      </c>
      <c r="G122" t="s">
        <v>665</v>
      </c>
    </row>
    <row r="123" spans="1:7" x14ac:dyDescent="0.25">
      <c r="A123" t="s">
        <v>790</v>
      </c>
      <c r="B123" t="s">
        <v>73</v>
      </c>
      <c r="C123" t="s">
        <v>579</v>
      </c>
      <c r="D123" s="1">
        <v>45118</v>
      </c>
      <c r="E123">
        <v>3902.73</v>
      </c>
      <c r="F123" t="s">
        <v>664</v>
      </c>
      <c r="G123" t="s">
        <v>670</v>
      </c>
    </row>
    <row r="124" spans="1:7" x14ac:dyDescent="0.25">
      <c r="A124" t="s">
        <v>791</v>
      </c>
      <c r="B124" t="s">
        <v>181</v>
      </c>
      <c r="C124" t="s">
        <v>580</v>
      </c>
      <c r="D124" s="1">
        <v>44985</v>
      </c>
      <c r="E124">
        <v>2064.0700000000002</v>
      </c>
      <c r="F124" t="s">
        <v>672</v>
      </c>
      <c r="G124" t="s">
        <v>667</v>
      </c>
    </row>
    <row r="125" spans="1:7" x14ac:dyDescent="0.25">
      <c r="A125" t="s">
        <v>792</v>
      </c>
      <c r="B125" t="s">
        <v>75</v>
      </c>
      <c r="C125" t="s">
        <v>581</v>
      </c>
      <c r="D125" s="1">
        <v>45001</v>
      </c>
      <c r="E125">
        <v>3492.1</v>
      </c>
      <c r="F125" t="s">
        <v>672</v>
      </c>
      <c r="G125" t="s">
        <v>665</v>
      </c>
    </row>
    <row r="126" spans="1:7" x14ac:dyDescent="0.25">
      <c r="A126" t="s">
        <v>793</v>
      </c>
      <c r="B126" t="s">
        <v>110</v>
      </c>
      <c r="C126" t="s">
        <v>582</v>
      </c>
      <c r="D126" s="1">
        <v>44975</v>
      </c>
      <c r="E126">
        <v>4079.52</v>
      </c>
      <c r="F126" t="s">
        <v>664</v>
      </c>
      <c r="G126" t="s">
        <v>670</v>
      </c>
    </row>
    <row r="127" spans="1:7" x14ac:dyDescent="0.25">
      <c r="A127" t="s">
        <v>794</v>
      </c>
      <c r="B127" t="s">
        <v>116</v>
      </c>
      <c r="C127" t="s">
        <v>583</v>
      </c>
      <c r="D127" s="1">
        <v>45232</v>
      </c>
      <c r="E127">
        <v>4672.3</v>
      </c>
      <c r="F127" t="s">
        <v>672</v>
      </c>
      <c r="G127" t="s">
        <v>665</v>
      </c>
    </row>
    <row r="128" spans="1:7" x14ac:dyDescent="0.25">
      <c r="A128" t="s">
        <v>795</v>
      </c>
      <c r="B128" t="s">
        <v>145</v>
      </c>
      <c r="C128" t="s">
        <v>584</v>
      </c>
      <c r="D128" s="1">
        <v>45243</v>
      </c>
      <c r="E128">
        <v>1555.89</v>
      </c>
      <c r="F128" t="s">
        <v>672</v>
      </c>
      <c r="G128" t="s">
        <v>665</v>
      </c>
    </row>
    <row r="129" spans="1:7" x14ac:dyDescent="0.25">
      <c r="A129" t="s">
        <v>796</v>
      </c>
      <c r="B129" t="s">
        <v>160</v>
      </c>
      <c r="C129" t="s">
        <v>585</v>
      </c>
      <c r="D129" s="1">
        <v>45031</v>
      </c>
      <c r="E129">
        <v>2296.92</v>
      </c>
      <c r="F129" t="s">
        <v>672</v>
      </c>
      <c r="G129" t="s">
        <v>665</v>
      </c>
    </row>
    <row r="130" spans="1:7" x14ac:dyDescent="0.25">
      <c r="A130" t="s">
        <v>797</v>
      </c>
      <c r="B130" t="s">
        <v>132</v>
      </c>
      <c r="C130" t="s">
        <v>586</v>
      </c>
      <c r="D130" s="1">
        <v>45163</v>
      </c>
      <c r="E130">
        <v>1185.8699999999999</v>
      </c>
      <c r="F130" t="s">
        <v>664</v>
      </c>
      <c r="G130" t="s">
        <v>665</v>
      </c>
    </row>
    <row r="131" spans="1:7" x14ac:dyDescent="0.25">
      <c r="A131" t="s">
        <v>798</v>
      </c>
      <c r="B131" t="s">
        <v>87</v>
      </c>
      <c r="C131" t="s">
        <v>587</v>
      </c>
      <c r="D131" s="1">
        <v>44980</v>
      </c>
      <c r="E131">
        <v>4966.18</v>
      </c>
      <c r="F131" t="s">
        <v>664</v>
      </c>
      <c r="G131" t="s">
        <v>670</v>
      </c>
    </row>
    <row r="132" spans="1:7" x14ac:dyDescent="0.25">
      <c r="A132" t="s">
        <v>799</v>
      </c>
      <c r="B132" t="s">
        <v>181</v>
      </c>
      <c r="C132" t="s">
        <v>588</v>
      </c>
      <c r="D132" s="1">
        <v>45057</v>
      </c>
      <c r="E132">
        <v>4671.5</v>
      </c>
      <c r="F132" t="s">
        <v>672</v>
      </c>
      <c r="G132" t="s">
        <v>670</v>
      </c>
    </row>
    <row r="133" spans="1:7" x14ac:dyDescent="0.25">
      <c r="A133" t="s">
        <v>800</v>
      </c>
      <c r="B133" t="s">
        <v>98</v>
      </c>
      <c r="C133" t="s">
        <v>589</v>
      </c>
      <c r="D133" s="1">
        <v>45133</v>
      </c>
      <c r="E133">
        <v>2929.81</v>
      </c>
      <c r="F133" t="s">
        <v>672</v>
      </c>
      <c r="G133" t="s">
        <v>670</v>
      </c>
    </row>
    <row r="134" spans="1:7" x14ac:dyDescent="0.25">
      <c r="A134" t="s">
        <v>801</v>
      </c>
      <c r="B134" t="s">
        <v>178</v>
      </c>
      <c r="C134" t="s">
        <v>590</v>
      </c>
      <c r="D134" s="1">
        <v>45008</v>
      </c>
      <c r="E134">
        <v>4289.1499999999996</v>
      </c>
      <c r="F134" t="s">
        <v>664</v>
      </c>
      <c r="G134" t="s">
        <v>667</v>
      </c>
    </row>
    <row r="135" spans="1:7" x14ac:dyDescent="0.25">
      <c r="A135" t="s">
        <v>802</v>
      </c>
      <c r="B135" t="s">
        <v>116</v>
      </c>
      <c r="C135" t="s">
        <v>591</v>
      </c>
      <c r="D135" s="1">
        <v>45216</v>
      </c>
      <c r="E135">
        <v>2844.31</v>
      </c>
      <c r="F135" t="s">
        <v>664</v>
      </c>
      <c r="G135" t="s">
        <v>670</v>
      </c>
    </row>
    <row r="136" spans="1:7" x14ac:dyDescent="0.25">
      <c r="A136" t="s">
        <v>803</v>
      </c>
      <c r="B136" t="s">
        <v>105</v>
      </c>
      <c r="C136" t="s">
        <v>592</v>
      </c>
      <c r="D136" s="1">
        <v>45178</v>
      </c>
      <c r="E136">
        <v>3306.14</v>
      </c>
      <c r="F136" t="s">
        <v>672</v>
      </c>
      <c r="G136" t="s">
        <v>665</v>
      </c>
    </row>
    <row r="137" spans="1:7" x14ac:dyDescent="0.25">
      <c r="A137" t="s">
        <v>804</v>
      </c>
      <c r="B137" t="s">
        <v>75</v>
      </c>
      <c r="C137" t="s">
        <v>593</v>
      </c>
      <c r="D137" s="1">
        <v>45059</v>
      </c>
      <c r="E137">
        <v>901.06</v>
      </c>
      <c r="F137" t="s">
        <v>672</v>
      </c>
      <c r="G137" t="s">
        <v>670</v>
      </c>
    </row>
    <row r="138" spans="1:7" x14ac:dyDescent="0.25">
      <c r="A138" t="s">
        <v>805</v>
      </c>
      <c r="B138" t="s">
        <v>94</v>
      </c>
      <c r="C138" t="s">
        <v>594</v>
      </c>
      <c r="D138" s="1">
        <v>45224</v>
      </c>
      <c r="E138">
        <v>3898.72</v>
      </c>
      <c r="F138" t="s">
        <v>672</v>
      </c>
      <c r="G138" t="s">
        <v>665</v>
      </c>
    </row>
    <row r="139" spans="1:7" x14ac:dyDescent="0.25">
      <c r="A139" t="s">
        <v>806</v>
      </c>
      <c r="B139" t="s">
        <v>181</v>
      </c>
      <c r="C139" t="s">
        <v>595</v>
      </c>
      <c r="D139" s="1">
        <v>45286</v>
      </c>
      <c r="E139">
        <v>1074.71</v>
      </c>
      <c r="F139" t="s">
        <v>675</v>
      </c>
      <c r="G139" t="s">
        <v>667</v>
      </c>
    </row>
    <row r="140" spans="1:7" x14ac:dyDescent="0.25">
      <c r="A140" t="s">
        <v>807</v>
      </c>
      <c r="B140" t="s">
        <v>147</v>
      </c>
      <c r="C140" t="s">
        <v>596</v>
      </c>
      <c r="D140" s="1">
        <v>45209</v>
      </c>
      <c r="E140">
        <v>4217.3</v>
      </c>
      <c r="F140" t="s">
        <v>664</v>
      </c>
      <c r="G140" t="s">
        <v>665</v>
      </c>
    </row>
    <row r="141" spans="1:7" x14ac:dyDescent="0.25">
      <c r="A141" t="s">
        <v>808</v>
      </c>
      <c r="B141" t="s">
        <v>73</v>
      </c>
      <c r="C141" t="s">
        <v>597</v>
      </c>
      <c r="D141" s="1">
        <v>44962</v>
      </c>
      <c r="E141">
        <v>4019.13</v>
      </c>
      <c r="F141" t="s">
        <v>675</v>
      </c>
      <c r="G141" t="s">
        <v>665</v>
      </c>
    </row>
    <row r="142" spans="1:7" x14ac:dyDescent="0.25">
      <c r="A142" t="s">
        <v>809</v>
      </c>
      <c r="B142" t="s">
        <v>160</v>
      </c>
      <c r="C142" t="s">
        <v>598</v>
      </c>
      <c r="D142" s="1">
        <v>45092</v>
      </c>
      <c r="E142">
        <v>3689.35</v>
      </c>
      <c r="F142" t="s">
        <v>664</v>
      </c>
      <c r="G142" t="s">
        <v>665</v>
      </c>
    </row>
    <row r="143" spans="1:7" x14ac:dyDescent="0.25">
      <c r="A143" t="s">
        <v>810</v>
      </c>
      <c r="B143" t="s">
        <v>94</v>
      </c>
      <c r="C143" t="s">
        <v>599</v>
      </c>
      <c r="D143" s="1">
        <v>45231</v>
      </c>
      <c r="E143">
        <v>662.72</v>
      </c>
      <c r="F143" t="s">
        <v>664</v>
      </c>
      <c r="G143" t="s">
        <v>667</v>
      </c>
    </row>
    <row r="144" spans="1:7" x14ac:dyDescent="0.25">
      <c r="A144" t="s">
        <v>811</v>
      </c>
      <c r="B144" t="s">
        <v>73</v>
      </c>
      <c r="C144" t="s">
        <v>600</v>
      </c>
      <c r="D144" s="1">
        <v>45190</v>
      </c>
      <c r="E144">
        <v>1864.08</v>
      </c>
      <c r="F144" t="s">
        <v>664</v>
      </c>
      <c r="G144" t="s">
        <v>670</v>
      </c>
    </row>
    <row r="145" spans="1:7" x14ac:dyDescent="0.25">
      <c r="A145" t="s">
        <v>812</v>
      </c>
      <c r="B145" t="s">
        <v>62</v>
      </c>
      <c r="C145" t="s">
        <v>601</v>
      </c>
      <c r="D145" s="1">
        <v>45154</v>
      </c>
      <c r="E145">
        <v>1684.01</v>
      </c>
      <c r="F145" t="s">
        <v>664</v>
      </c>
      <c r="G145" t="s">
        <v>670</v>
      </c>
    </row>
    <row r="146" spans="1:7" x14ac:dyDescent="0.25">
      <c r="A146" t="s">
        <v>813</v>
      </c>
      <c r="B146" t="s">
        <v>53</v>
      </c>
      <c r="C146" t="s">
        <v>602</v>
      </c>
      <c r="D146" s="1">
        <v>45241</v>
      </c>
      <c r="E146">
        <v>2120.61</v>
      </c>
      <c r="F146" t="s">
        <v>664</v>
      </c>
      <c r="G146" t="s">
        <v>667</v>
      </c>
    </row>
    <row r="147" spans="1:7" x14ac:dyDescent="0.25">
      <c r="A147" t="s">
        <v>814</v>
      </c>
      <c r="B147" t="s">
        <v>126</v>
      </c>
      <c r="C147" t="s">
        <v>603</v>
      </c>
      <c r="D147" s="1">
        <v>44931</v>
      </c>
      <c r="E147">
        <v>894.39</v>
      </c>
      <c r="F147" t="s">
        <v>664</v>
      </c>
      <c r="G147" t="s">
        <v>665</v>
      </c>
    </row>
    <row r="148" spans="1:7" x14ac:dyDescent="0.25">
      <c r="A148" t="s">
        <v>815</v>
      </c>
      <c r="B148" t="s">
        <v>78</v>
      </c>
      <c r="C148" t="s">
        <v>604</v>
      </c>
      <c r="D148" s="1">
        <v>45243</v>
      </c>
      <c r="E148">
        <v>4716.3100000000004</v>
      </c>
      <c r="F148" t="s">
        <v>664</v>
      </c>
      <c r="G148" t="s">
        <v>670</v>
      </c>
    </row>
    <row r="149" spans="1:7" x14ac:dyDescent="0.25">
      <c r="A149" t="s">
        <v>816</v>
      </c>
      <c r="B149" t="s">
        <v>135</v>
      </c>
      <c r="C149" t="s">
        <v>605</v>
      </c>
      <c r="D149" s="1">
        <v>45266</v>
      </c>
      <c r="E149">
        <v>2992.11</v>
      </c>
      <c r="F149" t="s">
        <v>675</v>
      </c>
      <c r="G149" t="s">
        <v>667</v>
      </c>
    </row>
    <row r="150" spans="1:7" x14ac:dyDescent="0.25">
      <c r="A150" t="s">
        <v>817</v>
      </c>
      <c r="B150" t="s">
        <v>94</v>
      </c>
      <c r="C150" t="s">
        <v>606</v>
      </c>
      <c r="D150" s="1">
        <v>45133</v>
      </c>
      <c r="E150">
        <v>1874.86</v>
      </c>
      <c r="F150" t="s">
        <v>672</v>
      </c>
      <c r="G150" t="s">
        <v>670</v>
      </c>
    </row>
    <row r="151" spans="1:7" x14ac:dyDescent="0.25">
      <c r="A151" t="s">
        <v>818</v>
      </c>
      <c r="B151" t="s">
        <v>176</v>
      </c>
      <c r="C151" t="s">
        <v>607</v>
      </c>
      <c r="D151" s="1">
        <v>45154</v>
      </c>
      <c r="E151">
        <v>2286.42</v>
      </c>
      <c r="F151" t="s">
        <v>672</v>
      </c>
      <c r="G151" t="s">
        <v>667</v>
      </c>
    </row>
    <row r="152" spans="1:7" x14ac:dyDescent="0.25">
      <c r="A152" t="s">
        <v>819</v>
      </c>
      <c r="B152" t="s">
        <v>85</v>
      </c>
      <c r="C152" t="s">
        <v>608</v>
      </c>
      <c r="D152" s="1">
        <v>44954</v>
      </c>
      <c r="E152">
        <v>2512.41</v>
      </c>
      <c r="F152" t="s">
        <v>675</v>
      </c>
      <c r="G152" t="s">
        <v>665</v>
      </c>
    </row>
    <row r="153" spans="1:7" x14ac:dyDescent="0.25">
      <c r="A153" t="s">
        <v>820</v>
      </c>
      <c r="B153" t="s">
        <v>43</v>
      </c>
      <c r="C153" t="s">
        <v>609</v>
      </c>
      <c r="D153" s="1">
        <v>45030</v>
      </c>
      <c r="E153">
        <v>3202.67</v>
      </c>
      <c r="F153" t="s">
        <v>675</v>
      </c>
      <c r="G153" t="s">
        <v>670</v>
      </c>
    </row>
    <row r="154" spans="1:7" x14ac:dyDescent="0.25">
      <c r="A154" t="s">
        <v>821</v>
      </c>
      <c r="B154" t="s">
        <v>145</v>
      </c>
      <c r="C154" t="s">
        <v>610</v>
      </c>
      <c r="D154" s="1">
        <v>45115</v>
      </c>
      <c r="E154">
        <v>2820.56</v>
      </c>
      <c r="F154" t="s">
        <v>675</v>
      </c>
      <c r="G154" t="s">
        <v>667</v>
      </c>
    </row>
    <row r="155" spans="1:7" x14ac:dyDescent="0.25">
      <c r="A155" t="s">
        <v>822</v>
      </c>
      <c r="B155" t="s">
        <v>73</v>
      </c>
      <c r="C155" t="s">
        <v>611</v>
      </c>
      <c r="D155" s="1">
        <v>44991</v>
      </c>
      <c r="E155">
        <v>4637.26</v>
      </c>
      <c r="F155" t="s">
        <v>675</v>
      </c>
      <c r="G155" t="s">
        <v>670</v>
      </c>
    </row>
    <row r="156" spans="1:7" x14ac:dyDescent="0.25">
      <c r="A156" t="s">
        <v>823</v>
      </c>
      <c r="B156" t="s">
        <v>116</v>
      </c>
      <c r="C156" t="s">
        <v>612</v>
      </c>
      <c r="D156" s="1">
        <v>44929</v>
      </c>
      <c r="E156">
        <v>2736.34</v>
      </c>
      <c r="F156" t="s">
        <v>664</v>
      </c>
      <c r="G156" t="s">
        <v>670</v>
      </c>
    </row>
    <row r="157" spans="1:7" x14ac:dyDescent="0.25">
      <c r="A157" t="s">
        <v>824</v>
      </c>
      <c r="B157" t="s">
        <v>102</v>
      </c>
      <c r="C157" t="s">
        <v>613</v>
      </c>
      <c r="D157" s="1">
        <v>45252</v>
      </c>
      <c r="E157">
        <v>4964.71</v>
      </c>
      <c r="F157" t="s">
        <v>672</v>
      </c>
      <c r="G157" t="s">
        <v>670</v>
      </c>
    </row>
    <row r="158" spans="1:7" x14ac:dyDescent="0.25">
      <c r="A158" t="s">
        <v>825</v>
      </c>
      <c r="B158" t="s">
        <v>147</v>
      </c>
      <c r="C158" t="s">
        <v>614</v>
      </c>
      <c r="D158" s="1">
        <v>45058</v>
      </c>
      <c r="E158">
        <v>4331.41</v>
      </c>
      <c r="F158" t="s">
        <v>664</v>
      </c>
      <c r="G158" t="s">
        <v>670</v>
      </c>
    </row>
    <row r="159" spans="1:7" x14ac:dyDescent="0.25">
      <c r="A159" t="s">
        <v>826</v>
      </c>
      <c r="B159" t="s">
        <v>110</v>
      </c>
      <c r="C159" t="s">
        <v>615</v>
      </c>
      <c r="D159" s="1">
        <v>45119</v>
      </c>
      <c r="E159">
        <v>1438.3</v>
      </c>
      <c r="F159" t="s">
        <v>672</v>
      </c>
      <c r="G159" t="s">
        <v>667</v>
      </c>
    </row>
    <row r="160" spans="1:7" x14ac:dyDescent="0.25">
      <c r="A160" t="s">
        <v>827</v>
      </c>
      <c r="B160" t="s">
        <v>85</v>
      </c>
      <c r="C160" t="s">
        <v>616</v>
      </c>
      <c r="D160" s="1">
        <v>45024</v>
      </c>
      <c r="E160">
        <v>4687.68</v>
      </c>
      <c r="F160" t="s">
        <v>672</v>
      </c>
      <c r="G160" t="s">
        <v>665</v>
      </c>
    </row>
    <row r="161" spans="1:7" x14ac:dyDescent="0.25">
      <c r="A161" t="s">
        <v>828</v>
      </c>
      <c r="B161" t="s">
        <v>154</v>
      </c>
      <c r="C161" t="s">
        <v>617</v>
      </c>
      <c r="D161" s="1">
        <v>45277</v>
      </c>
      <c r="E161">
        <v>1023.65</v>
      </c>
      <c r="F161" t="s">
        <v>675</v>
      </c>
      <c r="G161" t="s">
        <v>667</v>
      </c>
    </row>
    <row r="162" spans="1:7" x14ac:dyDescent="0.25">
      <c r="A162" t="s">
        <v>829</v>
      </c>
      <c r="B162" t="s">
        <v>171</v>
      </c>
      <c r="C162" t="s">
        <v>618</v>
      </c>
      <c r="D162" s="1">
        <v>45094</v>
      </c>
      <c r="E162">
        <v>4178.5200000000004</v>
      </c>
      <c r="F162" t="s">
        <v>664</v>
      </c>
      <c r="G162" t="s">
        <v>667</v>
      </c>
    </row>
    <row r="163" spans="1:7" x14ac:dyDescent="0.25">
      <c r="A163" t="s">
        <v>830</v>
      </c>
      <c r="B163" t="s">
        <v>162</v>
      </c>
      <c r="C163" t="s">
        <v>619</v>
      </c>
      <c r="D163" s="1">
        <v>44927</v>
      </c>
      <c r="E163">
        <v>2212.8000000000002</v>
      </c>
      <c r="F163" t="s">
        <v>675</v>
      </c>
      <c r="G163" t="s">
        <v>667</v>
      </c>
    </row>
    <row r="164" spans="1:7" x14ac:dyDescent="0.25">
      <c r="A164" t="s">
        <v>831</v>
      </c>
      <c r="B164" t="s">
        <v>154</v>
      </c>
      <c r="C164" t="s">
        <v>620</v>
      </c>
      <c r="D164" s="1">
        <v>45104</v>
      </c>
      <c r="E164">
        <v>4450.88</v>
      </c>
      <c r="F164" t="s">
        <v>664</v>
      </c>
      <c r="G164" t="s">
        <v>665</v>
      </c>
    </row>
    <row r="165" spans="1:7" x14ac:dyDescent="0.25">
      <c r="A165" t="s">
        <v>832</v>
      </c>
      <c r="B165" t="s">
        <v>78</v>
      </c>
      <c r="C165" t="s">
        <v>621</v>
      </c>
      <c r="D165" s="1">
        <v>45135</v>
      </c>
      <c r="E165">
        <v>4406.26</v>
      </c>
      <c r="F165" t="s">
        <v>672</v>
      </c>
      <c r="G165" t="s">
        <v>670</v>
      </c>
    </row>
    <row r="166" spans="1:7" x14ac:dyDescent="0.25">
      <c r="A166" t="s">
        <v>833</v>
      </c>
      <c r="B166" t="s">
        <v>135</v>
      </c>
      <c r="C166" t="s">
        <v>622</v>
      </c>
      <c r="D166" s="1">
        <v>45020</v>
      </c>
      <c r="E166">
        <v>4126.66</v>
      </c>
      <c r="F166" t="s">
        <v>675</v>
      </c>
      <c r="G166" t="s">
        <v>670</v>
      </c>
    </row>
    <row r="167" spans="1:7" x14ac:dyDescent="0.25">
      <c r="A167" t="s">
        <v>834</v>
      </c>
      <c r="B167" t="s">
        <v>43</v>
      </c>
      <c r="C167" t="s">
        <v>623</v>
      </c>
      <c r="D167" s="1">
        <v>44938</v>
      </c>
      <c r="E167">
        <v>4055.14</v>
      </c>
      <c r="F167" t="s">
        <v>675</v>
      </c>
      <c r="G167" t="s">
        <v>670</v>
      </c>
    </row>
    <row r="168" spans="1:7" x14ac:dyDescent="0.25">
      <c r="A168" t="s">
        <v>835</v>
      </c>
      <c r="B168" t="s">
        <v>145</v>
      </c>
      <c r="C168" t="s">
        <v>624</v>
      </c>
      <c r="D168" s="1">
        <v>45245</v>
      </c>
      <c r="E168">
        <v>1871.06</v>
      </c>
      <c r="F168" t="s">
        <v>672</v>
      </c>
      <c r="G168" t="s">
        <v>665</v>
      </c>
    </row>
    <row r="169" spans="1:7" x14ac:dyDescent="0.25">
      <c r="A169" t="s">
        <v>836</v>
      </c>
      <c r="B169" t="s">
        <v>110</v>
      </c>
      <c r="C169" t="s">
        <v>625</v>
      </c>
      <c r="D169" s="1">
        <v>45198</v>
      </c>
      <c r="E169">
        <v>864.14</v>
      </c>
      <c r="F169" t="s">
        <v>672</v>
      </c>
      <c r="G169" t="s">
        <v>670</v>
      </c>
    </row>
    <row r="170" spans="1:7" x14ac:dyDescent="0.25">
      <c r="A170" t="s">
        <v>837</v>
      </c>
      <c r="B170" t="s">
        <v>129</v>
      </c>
      <c r="C170" t="s">
        <v>626</v>
      </c>
      <c r="D170" s="1">
        <v>45131</v>
      </c>
      <c r="E170">
        <v>2313.41</v>
      </c>
      <c r="F170" t="s">
        <v>672</v>
      </c>
      <c r="G170" t="s">
        <v>665</v>
      </c>
    </row>
    <row r="171" spans="1:7" x14ac:dyDescent="0.25">
      <c r="A171" t="s">
        <v>838</v>
      </c>
      <c r="B171" t="s">
        <v>165</v>
      </c>
      <c r="C171" t="s">
        <v>627</v>
      </c>
      <c r="D171" s="1">
        <v>44988</v>
      </c>
      <c r="E171">
        <v>1280.8599999999999</v>
      </c>
      <c r="F171" t="s">
        <v>675</v>
      </c>
      <c r="G171" t="s">
        <v>670</v>
      </c>
    </row>
    <row r="172" spans="1:7" x14ac:dyDescent="0.25">
      <c r="A172" t="s">
        <v>839</v>
      </c>
      <c r="B172" t="s">
        <v>70</v>
      </c>
      <c r="C172" t="s">
        <v>628</v>
      </c>
      <c r="D172" s="1">
        <v>45034</v>
      </c>
      <c r="E172">
        <v>3627.28</v>
      </c>
      <c r="F172" t="s">
        <v>664</v>
      </c>
      <c r="G172" t="s">
        <v>670</v>
      </c>
    </row>
    <row r="173" spans="1:7" x14ac:dyDescent="0.25">
      <c r="A173" t="s">
        <v>840</v>
      </c>
      <c r="B173" t="s">
        <v>91</v>
      </c>
      <c r="C173" t="s">
        <v>629</v>
      </c>
      <c r="D173" s="1">
        <v>44994</v>
      </c>
      <c r="E173">
        <v>2057.4499999999998</v>
      </c>
      <c r="F173" t="s">
        <v>675</v>
      </c>
      <c r="G173" t="s">
        <v>667</v>
      </c>
    </row>
    <row r="174" spans="1:7" x14ac:dyDescent="0.25">
      <c r="A174" t="s">
        <v>841</v>
      </c>
      <c r="B174" t="s">
        <v>176</v>
      </c>
      <c r="C174" t="s">
        <v>630</v>
      </c>
      <c r="D174" s="1">
        <v>45081</v>
      </c>
      <c r="E174">
        <v>4890.25</v>
      </c>
      <c r="F174" t="s">
        <v>664</v>
      </c>
      <c r="G174" t="s">
        <v>665</v>
      </c>
    </row>
    <row r="175" spans="1:7" x14ac:dyDescent="0.25">
      <c r="A175" t="s">
        <v>842</v>
      </c>
      <c r="B175" t="s">
        <v>73</v>
      </c>
      <c r="C175" t="s">
        <v>631</v>
      </c>
      <c r="D175" s="1">
        <v>45230</v>
      </c>
      <c r="E175">
        <v>3384.37</v>
      </c>
      <c r="F175" t="s">
        <v>675</v>
      </c>
      <c r="G175" t="s">
        <v>667</v>
      </c>
    </row>
    <row r="176" spans="1:7" x14ac:dyDescent="0.25">
      <c r="A176" t="s">
        <v>843</v>
      </c>
      <c r="B176" t="s">
        <v>62</v>
      </c>
      <c r="C176" t="s">
        <v>632</v>
      </c>
      <c r="D176" s="1">
        <v>45221</v>
      </c>
      <c r="E176">
        <v>4201.16</v>
      </c>
      <c r="F176" t="s">
        <v>675</v>
      </c>
      <c r="G176" t="s">
        <v>667</v>
      </c>
    </row>
    <row r="177" spans="1:7" x14ac:dyDescent="0.25">
      <c r="A177" t="s">
        <v>844</v>
      </c>
      <c r="B177" t="s">
        <v>65</v>
      </c>
      <c r="C177" t="s">
        <v>633</v>
      </c>
      <c r="D177" s="1">
        <v>45042</v>
      </c>
      <c r="E177">
        <v>1096.3599999999999</v>
      </c>
      <c r="F177" t="s">
        <v>672</v>
      </c>
      <c r="G177" t="s">
        <v>667</v>
      </c>
    </row>
    <row r="178" spans="1:7" x14ac:dyDescent="0.25">
      <c r="A178" t="s">
        <v>845</v>
      </c>
      <c r="B178" t="s">
        <v>168</v>
      </c>
      <c r="C178" t="s">
        <v>634</v>
      </c>
      <c r="D178" s="1">
        <v>45154</v>
      </c>
      <c r="E178">
        <v>4379.07</v>
      </c>
      <c r="F178" t="s">
        <v>664</v>
      </c>
      <c r="G178" t="s">
        <v>665</v>
      </c>
    </row>
    <row r="179" spans="1:7" x14ac:dyDescent="0.25">
      <c r="A179" t="s">
        <v>846</v>
      </c>
      <c r="B179" t="s">
        <v>87</v>
      </c>
      <c r="C179" t="s">
        <v>635</v>
      </c>
      <c r="D179" s="1">
        <v>44943</v>
      </c>
      <c r="E179">
        <v>4652.41</v>
      </c>
      <c r="F179" t="s">
        <v>675</v>
      </c>
      <c r="G179" t="s">
        <v>665</v>
      </c>
    </row>
    <row r="180" spans="1:7" x14ac:dyDescent="0.25">
      <c r="A180" t="s">
        <v>847</v>
      </c>
      <c r="B180" t="s">
        <v>152</v>
      </c>
      <c r="C180" t="s">
        <v>636</v>
      </c>
      <c r="D180" s="1">
        <v>44993</v>
      </c>
      <c r="E180">
        <v>2691.78</v>
      </c>
      <c r="F180" t="s">
        <v>675</v>
      </c>
      <c r="G180" t="s">
        <v>670</v>
      </c>
    </row>
    <row r="181" spans="1:7" x14ac:dyDescent="0.25">
      <c r="A181" t="s">
        <v>848</v>
      </c>
      <c r="B181" t="s">
        <v>53</v>
      </c>
      <c r="C181" t="s">
        <v>637</v>
      </c>
      <c r="D181" s="1">
        <v>44933</v>
      </c>
      <c r="E181">
        <v>3228.14</v>
      </c>
      <c r="F181" t="s">
        <v>672</v>
      </c>
      <c r="G181" t="s">
        <v>667</v>
      </c>
    </row>
    <row r="182" spans="1:7" x14ac:dyDescent="0.25">
      <c r="A182" t="s">
        <v>849</v>
      </c>
      <c r="B182" t="s">
        <v>174</v>
      </c>
      <c r="C182" t="s">
        <v>638</v>
      </c>
      <c r="D182" s="1">
        <v>45172</v>
      </c>
      <c r="E182">
        <v>3941.64</v>
      </c>
      <c r="F182" t="s">
        <v>672</v>
      </c>
      <c r="G182" t="s">
        <v>670</v>
      </c>
    </row>
    <row r="183" spans="1:7" x14ac:dyDescent="0.25">
      <c r="A183" t="s">
        <v>850</v>
      </c>
      <c r="B183" t="s">
        <v>75</v>
      </c>
      <c r="C183" t="s">
        <v>639</v>
      </c>
      <c r="D183" s="1">
        <v>45028</v>
      </c>
      <c r="E183">
        <v>1286.77</v>
      </c>
      <c r="F183" t="s">
        <v>664</v>
      </c>
      <c r="G183" t="s">
        <v>667</v>
      </c>
    </row>
    <row r="184" spans="1:7" x14ac:dyDescent="0.25">
      <c r="A184" t="s">
        <v>851</v>
      </c>
      <c r="B184" t="s">
        <v>157</v>
      </c>
      <c r="C184" t="s">
        <v>640</v>
      </c>
      <c r="D184" s="1">
        <v>44960</v>
      </c>
      <c r="E184">
        <v>2761.55</v>
      </c>
      <c r="F184" t="s">
        <v>675</v>
      </c>
      <c r="G184" t="s">
        <v>665</v>
      </c>
    </row>
    <row r="185" spans="1:7" x14ac:dyDescent="0.25">
      <c r="A185" t="s">
        <v>852</v>
      </c>
      <c r="B185" t="s">
        <v>162</v>
      </c>
      <c r="C185" t="s">
        <v>641</v>
      </c>
      <c r="D185" s="1">
        <v>44983</v>
      </c>
      <c r="E185">
        <v>2293.98</v>
      </c>
      <c r="F185" t="s">
        <v>664</v>
      </c>
      <c r="G185" t="s">
        <v>665</v>
      </c>
    </row>
    <row r="186" spans="1:7" x14ac:dyDescent="0.25">
      <c r="A186" t="s">
        <v>853</v>
      </c>
      <c r="B186" t="s">
        <v>62</v>
      </c>
      <c r="C186" t="s">
        <v>642</v>
      </c>
      <c r="D186" s="1">
        <v>45006</v>
      </c>
      <c r="E186">
        <v>1158.68</v>
      </c>
      <c r="F186" t="s">
        <v>675</v>
      </c>
      <c r="G186" t="s">
        <v>665</v>
      </c>
    </row>
    <row r="187" spans="1:7" x14ac:dyDescent="0.25">
      <c r="A187" t="s">
        <v>854</v>
      </c>
      <c r="B187" t="s">
        <v>184</v>
      </c>
      <c r="C187" t="s">
        <v>643</v>
      </c>
      <c r="D187" s="1">
        <v>45012</v>
      </c>
      <c r="E187">
        <v>2153.9</v>
      </c>
      <c r="F187" t="s">
        <v>664</v>
      </c>
      <c r="G187" t="s">
        <v>667</v>
      </c>
    </row>
    <row r="188" spans="1:7" x14ac:dyDescent="0.25">
      <c r="A188" t="s">
        <v>855</v>
      </c>
      <c r="B188" t="s">
        <v>123</v>
      </c>
      <c r="C188" t="s">
        <v>644</v>
      </c>
      <c r="D188" s="1">
        <v>44970</v>
      </c>
      <c r="E188">
        <v>806.78</v>
      </c>
      <c r="F188" t="s">
        <v>672</v>
      </c>
      <c r="G188" t="s">
        <v>665</v>
      </c>
    </row>
    <row r="189" spans="1:7" x14ac:dyDescent="0.25">
      <c r="A189" t="s">
        <v>856</v>
      </c>
      <c r="B189" t="s">
        <v>22</v>
      </c>
      <c r="C189" t="s">
        <v>645</v>
      </c>
      <c r="D189" s="1">
        <v>45028</v>
      </c>
      <c r="E189">
        <v>616.15</v>
      </c>
      <c r="F189" t="s">
        <v>675</v>
      </c>
      <c r="G189" t="s">
        <v>667</v>
      </c>
    </row>
    <row r="190" spans="1:7" x14ac:dyDescent="0.25">
      <c r="A190" t="s">
        <v>857</v>
      </c>
      <c r="B190" t="s">
        <v>43</v>
      </c>
      <c r="C190" t="s">
        <v>646</v>
      </c>
      <c r="D190" s="1">
        <v>45204</v>
      </c>
      <c r="E190">
        <v>1108.25</v>
      </c>
      <c r="F190" t="s">
        <v>664</v>
      </c>
      <c r="G190" t="s">
        <v>670</v>
      </c>
    </row>
    <row r="191" spans="1:7" x14ac:dyDescent="0.25">
      <c r="A191" t="s">
        <v>858</v>
      </c>
      <c r="B191" t="s">
        <v>129</v>
      </c>
      <c r="C191" t="s">
        <v>647</v>
      </c>
      <c r="D191" s="1">
        <v>45246</v>
      </c>
      <c r="E191">
        <v>4834.0200000000004</v>
      </c>
      <c r="F191" t="s">
        <v>672</v>
      </c>
      <c r="G191" t="s">
        <v>667</v>
      </c>
    </row>
    <row r="192" spans="1:7" x14ac:dyDescent="0.25">
      <c r="A192" t="s">
        <v>859</v>
      </c>
      <c r="B192" t="s">
        <v>149</v>
      </c>
      <c r="C192" t="s">
        <v>648</v>
      </c>
      <c r="D192" s="1">
        <v>45028</v>
      </c>
      <c r="E192">
        <v>2972.88</v>
      </c>
      <c r="F192" t="s">
        <v>672</v>
      </c>
      <c r="G192" t="s">
        <v>670</v>
      </c>
    </row>
    <row r="193" spans="1:7" x14ac:dyDescent="0.25">
      <c r="A193" t="s">
        <v>860</v>
      </c>
      <c r="B193" t="s">
        <v>152</v>
      </c>
      <c r="C193" t="s">
        <v>649</v>
      </c>
      <c r="D193" s="1">
        <v>45169</v>
      </c>
      <c r="E193">
        <v>4846.2</v>
      </c>
      <c r="F193" t="s">
        <v>664</v>
      </c>
      <c r="G193" t="s">
        <v>667</v>
      </c>
    </row>
    <row r="194" spans="1:7" x14ac:dyDescent="0.25">
      <c r="A194" t="s">
        <v>861</v>
      </c>
      <c r="B194" t="s">
        <v>94</v>
      </c>
      <c r="C194" t="s">
        <v>650</v>
      </c>
      <c r="D194" s="1">
        <v>45184</v>
      </c>
      <c r="E194">
        <v>2446.2399999999998</v>
      </c>
      <c r="F194" t="s">
        <v>675</v>
      </c>
      <c r="G194" t="s">
        <v>670</v>
      </c>
    </row>
    <row r="195" spans="1:7" x14ac:dyDescent="0.25">
      <c r="A195" t="s">
        <v>862</v>
      </c>
      <c r="B195" t="s">
        <v>57</v>
      </c>
      <c r="C195" t="s">
        <v>651</v>
      </c>
      <c r="D195" s="1">
        <v>45022</v>
      </c>
      <c r="E195">
        <v>1903.17</v>
      </c>
      <c r="F195" t="s">
        <v>675</v>
      </c>
      <c r="G195" t="s">
        <v>665</v>
      </c>
    </row>
    <row r="196" spans="1:7" x14ac:dyDescent="0.25">
      <c r="A196" t="s">
        <v>863</v>
      </c>
      <c r="B196" t="s">
        <v>178</v>
      </c>
      <c r="C196" t="s">
        <v>652</v>
      </c>
      <c r="D196" s="1">
        <v>45157</v>
      </c>
      <c r="E196">
        <v>2777.64</v>
      </c>
      <c r="F196" t="s">
        <v>672</v>
      </c>
      <c r="G196" t="s">
        <v>670</v>
      </c>
    </row>
    <row r="197" spans="1:7" x14ac:dyDescent="0.25">
      <c r="A197" t="s">
        <v>864</v>
      </c>
      <c r="B197" t="s">
        <v>171</v>
      </c>
      <c r="C197" t="s">
        <v>653</v>
      </c>
      <c r="D197" s="1">
        <v>45225</v>
      </c>
      <c r="E197">
        <v>2477.8000000000002</v>
      </c>
      <c r="F197" t="s">
        <v>675</v>
      </c>
      <c r="G197" t="s">
        <v>665</v>
      </c>
    </row>
    <row r="198" spans="1:7" x14ac:dyDescent="0.25">
      <c r="A198" t="s">
        <v>865</v>
      </c>
      <c r="B198" t="s">
        <v>13</v>
      </c>
      <c r="C198" t="s">
        <v>654</v>
      </c>
      <c r="D198" s="1">
        <v>45017</v>
      </c>
      <c r="E198">
        <v>975.49</v>
      </c>
      <c r="F198" t="s">
        <v>675</v>
      </c>
      <c r="G198" t="s">
        <v>665</v>
      </c>
    </row>
    <row r="199" spans="1:7" x14ac:dyDescent="0.25">
      <c r="A199" t="s">
        <v>866</v>
      </c>
      <c r="B199" t="s">
        <v>105</v>
      </c>
      <c r="C199" t="s">
        <v>655</v>
      </c>
      <c r="D199" s="1">
        <v>45061</v>
      </c>
      <c r="E199">
        <v>3383.72</v>
      </c>
      <c r="F199" t="s">
        <v>675</v>
      </c>
      <c r="G199" t="s">
        <v>670</v>
      </c>
    </row>
    <row r="200" spans="1:7" x14ac:dyDescent="0.25">
      <c r="A200" t="s">
        <v>867</v>
      </c>
      <c r="B200" t="s">
        <v>87</v>
      </c>
      <c r="C200" t="s">
        <v>656</v>
      </c>
      <c r="D200" s="1">
        <v>45047</v>
      </c>
      <c r="E200">
        <v>1472.17</v>
      </c>
      <c r="F200" t="s">
        <v>672</v>
      </c>
      <c r="G200" t="s">
        <v>667</v>
      </c>
    </row>
    <row r="201" spans="1:7" x14ac:dyDescent="0.25">
      <c r="A201" t="s">
        <v>868</v>
      </c>
      <c r="B201" t="s">
        <v>53</v>
      </c>
      <c r="C201" t="s">
        <v>657</v>
      </c>
      <c r="D201" s="1">
        <v>45290</v>
      </c>
      <c r="E201">
        <v>3288.15</v>
      </c>
      <c r="F201" t="s">
        <v>664</v>
      </c>
      <c r="G201" t="s">
        <v>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4312-67E0-480D-A3CB-C23267497D48}">
  <dimension ref="A1:B8"/>
  <sheetViews>
    <sheetView workbookViewId="0">
      <selection activeCell="B9" sqref="B9"/>
    </sheetView>
  </sheetViews>
  <sheetFormatPr defaultRowHeight="15" x14ac:dyDescent="0.25"/>
  <cols>
    <col min="1" max="1" width="20" customWidth="1"/>
    <col min="2" max="2" width="18.85546875" customWidth="1"/>
  </cols>
  <sheetData>
    <row r="1" spans="1:2" x14ac:dyDescent="0.25">
      <c r="A1" t="s">
        <v>869</v>
      </c>
      <c r="B1" t="s">
        <v>877</v>
      </c>
    </row>
    <row r="2" spans="1:2" x14ac:dyDescent="0.25">
      <c r="A2" t="s">
        <v>870</v>
      </c>
      <c r="B2">
        <f>ROWS(tbl_patients[])</f>
        <v>50</v>
      </c>
    </row>
    <row r="3" spans="1:2" x14ac:dyDescent="0.25">
      <c r="A3" t="s">
        <v>871</v>
      </c>
      <c r="B3">
        <f>ROWS(tbl_doctors[])</f>
        <v>10</v>
      </c>
    </row>
    <row r="4" spans="1:2" x14ac:dyDescent="0.25">
      <c r="A4" t="s">
        <v>872</v>
      </c>
      <c r="B4">
        <f>ROWS(tbl_appointments[])</f>
        <v>200</v>
      </c>
    </row>
    <row r="5" spans="1:2" x14ac:dyDescent="0.25">
      <c r="A5" t="s">
        <v>873</v>
      </c>
      <c r="B5">
        <f>SUM(tbl_billing[Amount])</f>
        <v>551249.85000000009</v>
      </c>
    </row>
    <row r="6" spans="1:2" x14ac:dyDescent="0.25">
      <c r="A6" t="s">
        <v>874</v>
      </c>
      <c r="B6">
        <f>AVERAGE(tbl_treatments[Cost])</f>
        <v>2756.2492500000003</v>
      </c>
    </row>
    <row r="7" spans="1:2" x14ac:dyDescent="0.25">
      <c r="A7" t="s">
        <v>875</v>
      </c>
      <c r="B7">
        <f>COUNTIF(tbl_appointments[Status],"Completed")/ROWS(tbl_appointments[])</f>
        <v>0.23</v>
      </c>
    </row>
    <row r="8" spans="1:2" x14ac:dyDescent="0.25">
      <c r="A8" t="s">
        <v>876</v>
      </c>
      <c r="B8">
        <f>COUNTIF(tbl_appointments[Status],"No-show")/ROWS(tbl_appointments[])</f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59B4-6E26-423A-AB8F-FAB569A0649A}">
  <dimension ref="A1:D11"/>
  <sheetViews>
    <sheetView workbookViewId="0">
      <selection activeCell="C8" sqref="C8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6" bestFit="1" customWidth="1"/>
    <col min="4" max="4" width="21.7109375" bestFit="1" customWidth="1"/>
  </cols>
  <sheetData>
    <row r="1" spans="1:4" x14ac:dyDescent="0.25">
      <c r="A1" t="s">
        <v>186</v>
      </c>
      <c r="B1" t="s">
        <v>882</v>
      </c>
      <c r="C1" t="s">
        <v>187</v>
      </c>
      <c r="D1" t="s">
        <v>883</v>
      </c>
    </row>
    <row r="2" spans="1:4" x14ac:dyDescent="0.25">
      <c r="A2" t="s">
        <v>204</v>
      </c>
      <c r="B2" t="s">
        <v>884</v>
      </c>
      <c r="C2" t="s">
        <v>192</v>
      </c>
      <c r="D2">
        <v>29</v>
      </c>
    </row>
    <row r="3" spans="1:4" x14ac:dyDescent="0.25">
      <c r="A3" t="s">
        <v>191</v>
      </c>
      <c r="B3" t="s">
        <v>885</v>
      </c>
      <c r="C3" t="s">
        <v>192</v>
      </c>
      <c r="D3">
        <v>25</v>
      </c>
    </row>
    <row r="4" spans="1:4" x14ac:dyDescent="0.25">
      <c r="A4" t="s">
        <v>206</v>
      </c>
      <c r="B4" t="s">
        <v>886</v>
      </c>
      <c r="C4" t="s">
        <v>196</v>
      </c>
      <c r="D4">
        <v>24</v>
      </c>
    </row>
    <row r="5" spans="1:4" x14ac:dyDescent="0.25">
      <c r="A5" t="s">
        <v>199</v>
      </c>
      <c r="B5" t="s">
        <v>887</v>
      </c>
      <c r="C5" t="s">
        <v>196</v>
      </c>
      <c r="D5">
        <v>22</v>
      </c>
    </row>
    <row r="6" spans="1:4" x14ac:dyDescent="0.25">
      <c r="A6" t="s">
        <v>195</v>
      </c>
      <c r="B6" t="s">
        <v>888</v>
      </c>
      <c r="C6" t="s">
        <v>196</v>
      </c>
      <c r="D6">
        <v>21</v>
      </c>
    </row>
    <row r="7" spans="1:4" x14ac:dyDescent="0.25">
      <c r="A7" t="s">
        <v>215</v>
      </c>
      <c r="B7" t="s">
        <v>889</v>
      </c>
      <c r="C7" t="s">
        <v>209</v>
      </c>
      <c r="D7">
        <v>19</v>
      </c>
    </row>
    <row r="8" spans="1:4" x14ac:dyDescent="0.25">
      <c r="A8" t="s">
        <v>213</v>
      </c>
      <c r="B8" t="s">
        <v>890</v>
      </c>
      <c r="C8" t="s">
        <v>196</v>
      </c>
      <c r="D8">
        <v>17</v>
      </c>
    </row>
    <row r="9" spans="1:4" x14ac:dyDescent="0.25">
      <c r="A9" t="s">
        <v>211</v>
      </c>
      <c r="B9" t="s">
        <v>891</v>
      </c>
      <c r="C9" t="s">
        <v>192</v>
      </c>
      <c r="D9">
        <v>16</v>
      </c>
    </row>
    <row r="10" spans="1:4" x14ac:dyDescent="0.25">
      <c r="A10" t="s">
        <v>201</v>
      </c>
      <c r="B10" t="s">
        <v>892</v>
      </c>
      <c r="C10" t="s">
        <v>196</v>
      </c>
      <c r="D10">
        <v>14</v>
      </c>
    </row>
    <row r="11" spans="1:4" x14ac:dyDescent="0.25">
      <c r="A11" t="s">
        <v>208</v>
      </c>
      <c r="B11" t="s">
        <v>893</v>
      </c>
      <c r="C11" t="s">
        <v>209</v>
      </c>
      <c r="D11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305D-5EC0-4D2B-B73C-57218D69B53F}">
  <dimension ref="A1:C13"/>
  <sheetViews>
    <sheetView workbookViewId="0">
      <selection activeCell="B6" sqref="B6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9.7109375" bestFit="1" customWidth="1"/>
  </cols>
  <sheetData>
    <row r="1" spans="1:3" x14ac:dyDescent="0.25">
      <c r="A1" t="s">
        <v>897</v>
      </c>
      <c r="B1" t="s">
        <v>898</v>
      </c>
      <c r="C1" t="s">
        <v>899</v>
      </c>
    </row>
    <row r="2" spans="1:3" x14ac:dyDescent="0.25">
      <c r="A2">
        <v>2023</v>
      </c>
      <c r="B2">
        <v>1</v>
      </c>
      <c r="C2">
        <v>58701.23</v>
      </c>
    </row>
    <row r="3" spans="1:3" x14ac:dyDescent="0.25">
      <c r="A3">
        <v>2023</v>
      </c>
      <c r="B3">
        <v>2</v>
      </c>
      <c r="C3">
        <v>36669.69</v>
      </c>
    </row>
    <row r="4" spans="1:3" x14ac:dyDescent="0.25">
      <c r="A4">
        <v>2023</v>
      </c>
      <c r="B4">
        <v>3</v>
      </c>
      <c r="C4">
        <v>47304.29</v>
      </c>
    </row>
    <row r="5" spans="1:3" x14ac:dyDescent="0.25">
      <c r="A5">
        <v>2023</v>
      </c>
      <c r="B5">
        <v>4</v>
      </c>
      <c r="C5">
        <v>64271.54</v>
      </c>
    </row>
    <row r="6" spans="1:3" x14ac:dyDescent="0.25">
      <c r="A6">
        <v>2023</v>
      </c>
      <c r="B6">
        <v>5</v>
      </c>
      <c r="C6">
        <v>48791.05</v>
      </c>
    </row>
    <row r="7" spans="1:3" x14ac:dyDescent="0.25">
      <c r="A7">
        <v>2023</v>
      </c>
      <c r="B7">
        <v>6</v>
      </c>
      <c r="C7">
        <v>56887.82</v>
      </c>
    </row>
    <row r="8" spans="1:3" x14ac:dyDescent="0.25">
      <c r="A8">
        <v>2023</v>
      </c>
      <c r="B8">
        <v>7</v>
      </c>
      <c r="C8">
        <v>39880.19</v>
      </c>
    </row>
    <row r="9" spans="1:3" x14ac:dyDescent="0.25">
      <c r="A9">
        <v>2023</v>
      </c>
      <c r="B9">
        <v>8</v>
      </c>
      <c r="C9">
        <v>41958.67</v>
      </c>
    </row>
    <row r="10" spans="1:3" x14ac:dyDescent="0.25">
      <c r="A10">
        <v>2023</v>
      </c>
      <c r="B10">
        <v>9</v>
      </c>
      <c r="C10">
        <v>33426.53</v>
      </c>
    </row>
    <row r="11" spans="1:3" x14ac:dyDescent="0.25">
      <c r="A11">
        <v>2023</v>
      </c>
      <c r="B11">
        <v>10</v>
      </c>
      <c r="C11">
        <v>43314.15</v>
      </c>
    </row>
    <row r="12" spans="1:3" x14ac:dyDescent="0.25">
      <c r="A12">
        <v>2023</v>
      </c>
      <c r="B12">
        <v>11</v>
      </c>
      <c r="C12">
        <v>52474.98</v>
      </c>
    </row>
    <row r="13" spans="1:3" x14ac:dyDescent="0.25">
      <c r="A13">
        <v>2023</v>
      </c>
      <c r="B13">
        <v>12</v>
      </c>
      <c r="C13">
        <v>27569.71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DC99-48C2-4F2A-BFA5-3A43440ECF85}">
  <dimension ref="A1:U35"/>
  <sheetViews>
    <sheetView tabSelected="1" topLeftCell="K31" workbookViewId="0">
      <selection activeCell="R49" sqref="R49"/>
    </sheetView>
  </sheetViews>
  <sheetFormatPr defaultRowHeight="15" x14ac:dyDescent="0.25"/>
  <cols>
    <col min="1" max="1" width="13.42578125" bestFit="1" customWidth="1"/>
    <col min="2" max="2" width="18.85546875" bestFit="1" customWidth="1"/>
    <col min="6" max="6" width="13.85546875" bestFit="1" customWidth="1"/>
    <col min="7" max="7" width="13.42578125" bestFit="1" customWidth="1"/>
    <col min="8" max="8" width="14.85546875" bestFit="1" customWidth="1"/>
    <col min="12" max="12" width="13.42578125" bestFit="1" customWidth="1"/>
    <col min="13" max="13" width="26.42578125" bestFit="1" customWidth="1"/>
    <col min="20" max="20" width="13.42578125" bestFit="1" customWidth="1"/>
    <col min="21" max="21" width="24.28515625" bestFit="1" customWidth="1"/>
  </cols>
  <sheetData>
    <row r="1" spans="1:21" x14ac:dyDescent="0.25">
      <c r="A1" s="3" t="s">
        <v>878</v>
      </c>
      <c r="B1" t="s">
        <v>880</v>
      </c>
      <c r="F1" s="3" t="s">
        <v>878</v>
      </c>
      <c r="G1" t="s">
        <v>881</v>
      </c>
      <c r="L1" s="3" t="s">
        <v>878</v>
      </c>
      <c r="M1" t="s">
        <v>894</v>
      </c>
    </row>
    <row r="2" spans="1:21" x14ac:dyDescent="0.25">
      <c r="A2" s="4" t="s">
        <v>233</v>
      </c>
      <c r="B2">
        <v>51</v>
      </c>
      <c r="F2" s="4" t="s">
        <v>451</v>
      </c>
      <c r="G2">
        <v>128855.67999999999</v>
      </c>
      <c r="L2" s="4" t="s">
        <v>886</v>
      </c>
      <c r="M2">
        <v>24</v>
      </c>
    </row>
    <row r="3" spans="1:21" x14ac:dyDescent="0.25">
      <c r="A3" s="4" t="s">
        <v>249</v>
      </c>
      <c r="B3">
        <v>46</v>
      </c>
      <c r="F3" s="4" t="s">
        <v>460</v>
      </c>
      <c r="G3">
        <v>96224.24</v>
      </c>
      <c r="L3" s="4" t="s">
        <v>892</v>
      </c>
      <c r="M3">
        <v>14</v>
      </c>
    </row>
    <row r="4" spans="1:21" x14ac:dyDescent="0.25">
      <c r="A4" s="4" t="s">
        <v>229</v>
      </c>
      <c r="B4">
        <v>52</v>
      </c>
      <c r="F4" s="4" t="s">
        <v>454</v>
      </c>
      <c r="G4">
        <v>116098.15999999999</v>
      </c>
      <c r="L4" s="4" t="s">
        <v>885</v>
      </c>
      <c r="M4">
        <v>25</v>
      </c>
    </row>
    <row r="5" spans="1:21" x14ac:dyDescent="0.25">
      <c r="A5" s="4" t="s">
        <v>226</v>
      </c>
      <c r="B5">
        <v>51</v>
      </c>
      <c r="F5" s="4" t="s">
        <v>464</v>
      </c>
      <c r="G5">
        <v>99418.1</v>
      </c>
      <c r="L5" s="4" t="s">
        <v>888</v>
      </c>
      <c r="M5">
        <v>21</v>
      </c>
    </row>
    <row r="6" spans="1:21" x14ac:dyDescent="0.25">
      <c r="A6" s="4" t="s">
        <v>879</v>
      </c>
      <c r="B6">
        <v>200</v>
      </c>
      <c r="F6" s="4" t="s">
        <v>476</v>
      </c>
      <c r="G6">
        <v>110653.67000000001</v>
      </c>
      <c r="L6" s="4" t="s">
        <v>887</v>
      </c>
      <c r="M6">
        <v>22</v>
      </c>
    </row>
    <row r="7" spans="1:21" x14ac:dyDescent="0.25">
      <c r="F7" s="4" t="s">
        <v>879</v>
      </c>
      <c r="G7">
        <v>551249.85</v>
      </c>
      <c r="L7" s="4" t="s">
        <v>891</v>
      </c>
      <c r="M7">
        <v>16</v>
      </c>
    </row>
    <row r="8" spans="1:21" x14ac:dyDescent="0.25">
      <c r="L8" s="4" t="s">
        <v>889</v>
      </c>
      <c r="M8">
        <v>19</v>
      </c>
    </row>
    <row r="9" spans="1:21" x14ac:dyDescent="0.25">
      <c r="L9" s="4" t="s">
        <v>893</v>
      </c>
      <c r="M9">
        <v>13</v>
      </c>
    </row>
    <row r="10" spans="1:21" x14ac:dyDescent="0.25">
      <c r="L10" s="4" t="s">
        <v>890</v>
      </c>
      <c r="M10">
        <v>17</v>
      </c>
      <c r="T10" s="3" t="s">
        <v>878</v>
      </c>
      <c r="U10" t="s">
        <v>900</v>
      </c>
    </row>
    <row r="11" spans="1:21" x14ac:dyDescent="0.25">
      <c r="L11" s="4" t="s">
        <v>884</v>
      </c>
      <c r="M11">
        <v>29</v>
      </c>
      <c r="T11" s="4">
        <v>1</v>
      </c>
      <c r="U11">
        <v>58701.23</v>
      </c>
    </row>
    <row r="12" spans="1:21" x14ac:dyDescent="0.25">
      <c r="L12" s="4" t="s">
        <v>879</v>
      </c>
      <c r="M12">
        <v>200</v>
      </c>
      <c r="T12" s="4">
        <v>2</v>
      </c>
      <c r="U12">
        <v>36669.69</v>
      </c>
    </row>
    <row r="13" spans="1:21" x14ac:dyDescent="0.25">
      <c r="T13" s="4">
        <v>3</v>
      </c>
      <c r="U13">
        <v>47304.29</v>
      </c>
    </row>
    <row r="14" spans="1:21" x14ac:dyDescent="0.25">
      <c r="T14" s="4">
        <v>4</v>
      </c>
      <c r="U14">
        <v>64271.54</v>
      </c>
    </row>
    <row r="15" spans="1:21" x14ac:dyDescent="0.25">
      <c r="T15" s="4">
        <v>5</v>
      </c>
      <c r="U15">
        <v>48791.05</v>
      </c>
    </row>
    <row r="16" spans="1:21" x14ac:dyDescent="0.25">
      <c r="T16" s="4">
        <v>6</v>
      </c>
      <c r="U16">
        <v>56887.82</v>
      </c>
    </row>
    <row r="17" spans="1:21" x14ac:dyDescent="0.25">
      <c r="T17" s="4">
        <v>7</v>
      </c>
      <c r="U17">
        <v>39880.19</v>
      </c>
    </row>
    <row r="18" spans="1:21" x14ac:dyDescent="0.25">
      <c r="T18" s="4">
        <v>8</v>
      </c>
      <c r="U18">
        <v>41958.67</v>
      </c>
    </row>
    <row r="19" spans="1:21" x14ac:dyDescent="0.25">
      <c r="T19" s="4">
        <v>9</v>
      </c>
      <c r="U19">
        <v>33426.53</v>
      </c>
    </row>
    <row r="20" spans="1:21" x14ac:dyDescent="0.25">
      <c r="T20" s="4">
        <v>10</v>
      </c>
      <c r="U20">
        <v>43314.15</v>
      </c>
    </row>
    <row r="21" spans="1:21" x14ac:dyDescent="0.25">
      <c r="T21" s="4">
        <v>11</v>
      </c>
      <c r="U21">
        <v>52474.98</v>
      </c>
    </row>
    <row r="22" spans="1:21" x14ac:dyDescent="0.25">
      <c r="T22" s="4">
        <v>12</v>
      </c>
      <c r="U22">
        <v>27569.71</v>
      </c>
    </row>
    <row r="23" spans="1:21" x14ac:dyDescent="0.25">
      <c r="T23" s="4" t="s">
        <v>879</v>
      </c>
      <c r="U23">
        <v>551249.85</v>
      </c>
    </row>
    <row r="30" spans="1:21" x14ac:dyDescent="0.25">
      <c r="A30" s="3" t="s">
        <v>878</v>
      </c>
      <c r="B30" t="s">
        <v>895</v>
      </c>
      <c r="G30" s="3" t="s">
        <v>878</v>
      </c>
      <c r="H30" t="s">
        <v>896</v>
      </c>
    </row>
    <row r="31" spans="1:21" x14ac:dyDescent="0.25">
      <c r="A31" s="4" t="s">
        <v>69</v>
      </c>
      <c r="B31">
        <v>18</v>
      </c>
      <c r="G31" s="4" t="s">
        <v>675</v>
      </c>
      <c r="H31">
        <v>167707.13999999998</v>
      </c>
    </row>
    <row r="32" spans="1:21" x14ac:dyDescent="0.25">
      <c r="A32" s="4" t="s">
        <v>29</v>
      </c>
      <c r="B32">
        <v>13</v>
      </c>
      <c r="G32" s="4" t="s">
        <v>672</v>
      </c>
      <c r="H32">
        <v>201382.43000000005</v>
      </c>
    </row>
    <row r="33" spans="1:8" x14ac:dyDescent="0.25">
      <c r="A33" s="4" t="s">
        <v>48</v>
      </c>
      <c r="B33">
        <v>13</v>
      </c>
      <c r="G33" s="4" t="s">
        <v>664</v>
      </c>
      <c r="H33">
        <v>182160.27999999997</v>
      </c>
    </row>
    <row r="34" spans="1:8" x14ac:dyDescent="0.25">
      <c r="A34" s="4" t="s">
        <v>21</v>
      </c>
      <c r="B34">
        <v>6</v>
      </c>
      <c r="G34" s="4" t="s">
        <v>879</v>
      </c>
      <c r="H34">
        <v>551249.85000000009</v>
      </c>
    </row>
    <row r="35" spans="1:8" x14ac:dyDescent="0.25">
      <c r="A35" s="4" t="s">
        <v>879</v>
      </c>
      <c r="B35">
        <v>50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F594-4A9C-4D38-BAA7-7D29C4E107B9}">
  <dimension ref="A1"/>
  <sheetViews>
    <sheetView showGridLines="0" topLeftCell="A7" workbookViewId="0">
      <selection activeCell="E17" sqref="E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FB2B-7161-4C18-8812-1FF878555CB8}">
  <dimension ref="A1:F201"/>
  <sheetViews>
    <sheetView topLeftCell="A2" workbookViewId="0">
      <selection activeCell="B8" sqref="B8"/>
    </sheetView>
  </sheetViews>
  <sheetFormatPr defaultRowHeight="15" x14ac:dyDescent="0.25"/>
  <cols>
    <col min="1" max="1" width="15.5703125" bestFit="1" customWidth="1"/>
    <col min="2" max="2" width="18" bestFit="1" customWidth="1"/>
    <col min="3" max="3" width="17.85546875" bestFit="1" customWidth="1"/>
    <col min="4" max="4" width="18.7109375" bestFit="1" customWidth="1"/>
    <col min="5" max="5" width="8" bestFit="1" customWidth="1"/>
    <col min="6" max="6" width="17.85546875" bestFit="1" customWidth="1"/>
  </cols>
  <sheetData>
    <row r="1" spans="1:6" x14ac:dyDescent="0.25">
      <c r="A1" t="s">
        <v>445</v>
      </c>
      <c r="B1" t="s">
        <v>217</v>
      </c>
      <c r="C1" t="s">
        <v>446</v>
      </c>
      <c r="D1" t="s">
        <v>447</v>
      </c>
      <c r="E1" t="s">
        <v>448</v>
      </c>
      <c r="F1" t="s">
        <v>449</v>
      </c>
    </row>
    <row r="2" spans="1:6" x14ac:dyDescent="0.25">
      <c r="A2" t="s">
        <v>450</v>
      </c>
      <c r="B2" t="s">
        <v>224</v>
      </c>
      <c r="C2" t="s">
        <v>451</v>
      </c>
      <c r="D2" t="s">
        <v>452</v>
      </c>
      <c r="E2">
        <v>3941.97</v>
      </c>
      <c r="F2" s="1">
        <v>45147</v>
      </c>
    </row>
    <row r="3" spans="1:6" x14ac:dyDescent="0.25">
      <c r="A3" t="s">
        <v>453</v>
      </c>
      <c r="B3" t="s">
        <v>228</v>
      </c>
      <c r="C3" t="s">
        <v>454</v>
      </c>
      <c r="D3" t="s">
        <v>455</v>
      </c>
      <c r="E3">
        <v>4158.4399999999996</v>
      </c>
      <c r="F3" s="1">
        <v>45086</v>
      </c>
    </row>
    <row r="4" spans="1:6" x14ac:dyDescent="0.25">
      <c r="A4" t="s">
        <v>456</v>
      </c>
      <c r="B4" t="s">
        <v>231</v>
      </c>
      <c r="C4" t="s">
        <v>454</v>
      </c>
      <c r="D4" t="s">
        <v>457</v>
      </c>
      <c r="E4">
        <v>3731.55</v>
      </c>
      <c r="F4" s="1">
        <v>45105</v>
      </c>
    </row>
    <row r="5" spans="1:6" x14ac:dyDescent="0.25">
      <c r="A5" t="s">
        <v>458</v>
      </c>
      <c r="B5" t="s">
        <v>234</v>
      </c>
      <c r="C5" t="s">
        <v>454</v>
      </c>
      <c r="D5" t="s">
        <v>452</v>
      </c>
      <c r="E5">
        <v>4799.8599999999997</v>
      </c>
      <c r="F5" s="1">
        <v>45170</v>
      </c>
    </row>
    <row r="6" spans="1:6" x14ac:dyDescent="0.25">
      <c r="A6" t="s">
        <v>459</v>
      </c>
      <c r="B6" t="s">
        <v>236</v>
      </c>
      <c r="C6" t="s">
        <v>460</v>
      </c>
      <c r="D6" t="s">
        <v>457</v>
      </c>
      <c r="E6">
        <v>582.04999999999995</v>
      </c>
      <c r="F6" s="1">
        <v>45113</v>
      </c>
    </row>
    <row r="7" spans="1:6" x14ac:dyDescent="0.25">
      <c r="A7" t="s">
        <v>461</v>
      </c>
      <c r="B7" t="s">
        <v>239</v>
      </c>
      <c r="C7" t="s">
        <v>451</v>
      </c>
      <c r="D7" t="s">
        <v>457</v>
      </c>
      <c r="E7">
        <v>1381</v>
      </c>
      <c r="F7" s="1">
        <v>45096</v>
      </c>
    </row>
    <row r="8" spans="1:6" x14ac:dyDescent="0.25">
      <c r="A8" t="s">
        <v>462</v>
      </c>
      <c r="B8" t="s">
        <v>241</v>
      </c>
      <c r="C8" t="s">
        <v>451</v>
      </c>
      <c r="D8" t="s">
        <v>455</v>
      </c>
      <c r="E8">
        <v>534.03</v>
      </c>
      <c r="F8" s="1">
        <v>45025</v>
      </c>
    </row>
    <row r="9" spans="1:6" x14ac:dyDescent="0.25">
      <c r="A9" t="s">
        <v>463</v>
      </c>
      <c r="B9" t="s">
        <v>243</v>
      </c>
      <c r="C9" t="s">
        <v>464</v>
      </c>
      <c r="D9" t="s">
        <v>452</v>
      </c>
      <c r="E9">
        <v>3413.64</v>
      </c>
      <c r="F9" s="1">
        <v>45070</v>
      </c>
    </row>
    <row r="10" spans="1:6" x14ac:dyDescent="0.25">
      <c r="A10" t="s">
        <v>465</v>
      </c>
      <c r="B10" t="s">
        <v>245</v>
      </c>
      <c r="C10" t="s">
        <v>464</v>
      </c>
      <c r="D10" t="s">
        <v>457</v>
      </c>
      <c r="E10">
        <v>4541.1400000000003</v>
      </c>
      <c r="F10" s="1">
        <v>44990</v>
      </c>
    </row>
    <row r="11" spans="1:6" x14ac:dyDescent="0.25">
      <c r="A11" t="s">
        <v>466</v>
      </c>
      <c r="B11" t="s">
        <v>248</v>
      </c>
      <c r="C11" t="s">
        <v>464</v>
      </c>
      <c r="D11" t="s">
        <v>457</v>
      </c>
      <c r="E11">
        <v>1595.67</v>
      </c>
      <c r="F11" s="1">
        <v>44939</v>
      </c>
    </row>
    <row r="12" spans="1:6" x14ac:dyDescent="0.25">
      <c r="A12" t="s">
        <v>467</v>
      </c>
      <c r="B12" t="s">
        <v>251</v>
      </c>
      <c r="C12" t="s">
        <v>454</v>
      </c>
      <c r="D12" t="s">
        <v>452</v>
      </c>
      <c r="E12">
        <v>4671.66</v>
      </c>
      <c r="F12" s="1">
        <v>45242</v>
      </c>
    </row>
    <row r="13" spans="1:6" x14ac:dyDescent="0.25">
      <c r="A13" t="s">
        <v>468</v>
      </c>
      <c r="B13" t="s">
        <v>253</v>
      </c>
      <c r="C13" t="s">
        <v>451</v>
      </c>
      <c r="D13" t="s">
        <v>457</v>
      </c>
      <c r="E13">
        <v>771.2</v>
      </c>
      <c r="F13" s="1">
        <v>45053</v>
      </c>
    </row>
    <row r="14" spans="1:6" x14ac:dyDescent="0.25">
      <c r="A14" t="s">
        <v>469</v>
      </c>
      <c r="B14" t="s">
        <v>254</v>
      </c>
      <c r="C14" t="s">
        <v>454</v>
      </c>
      <c r="D14" t="s">
        <v>457</v>
      </c>
      <c r="E14">
        <v>4704.96</v>
      </c>
      <c r="F14" s="1">
        <v>45154</v>
      </c>
    </row>
    <row r="15" spans="1:6" x14ac:dyDescent="0.25">
      <c r="A15" t="s">
        <v>470</v>
      </c>
      <c r="B15" t="s">
        <v>255</v>
      </c>
      <c r="C15" t="s">
        <v>460</v>
      </c>
      <c r="D15" t="s">
        <v>452</v>
      </c>
      <c r="E15">
        <v>2082.3000000000002</v>
      </c>
      <c r="F15" s="1">
        <v>45071</v>
      </c>
    </row>
    <row r="16" spans="1:6" x14ac:dyDescent="0.25">
      <c r="A16" t="s">
        <v>471</v>
      </c>
      <c r="B16" t="s">
        <v>256</v>
      </c>
      <c r="C16" t="s">
        <v>464</v>
      </c>
      <c r="D16" t="s">
        <v>452</v>
      </c>
      <c r="E16">
        <v>956.39</v>
      </c>
      <c r="F16" s="1">
        <v>44941</v>
      </c>
    </row>
    <row r="17" spans="1:6" x14ac:dyDescent="0.25">
      <c r="A17" t="s">
        <v>472</v>
      </c>
      <c r="B17" t="s">
        <v>257</v>
      </c>
      <c r="C17" t="s">
        <v>454</v>
      </c>
      <c r="D17" t="s">
        <v>452</v>
      </c>
      <c r="E17">
        <v>2686.42</v>
      </c>
      <c r="F17" s="1">
        <v>45107</v>
      </c>
    </row>
    <row r="18" spans="1:6" x14ac:dyDescent="0.25">
      <c r="A18" t="s">
        <v>473</v>
      </c>
      <c r="B18" t="s">
        <v>258</v>
      </c>
      <c r="C18" t="s">
        <v>454</v>
      </c>
      <c r="D18" t="s">
        <v>452</v>
      </c>
      <c r="E18">
        <v>1655.49</v>
      </c>
      <c r="F18" s="1">
        <v>45118</v>
      </c>
    </row>
    <row r="19" spans="1:6" x14ac:dyDescent="0.25">
      <c r="A19" t="s">
        <v>474</v>
      </c>
      <c r="B19" t="s">
        <v>259</v>
      </c>
      <c r="C19" t="s">
        <v>460</v>
      </c>
      <c r="D19" t="s">
        <v>455</v>
      </c>
      <c r="E19">
        <v>1781.93</v>
      </c>
      <c r="F19" s="1">
        <v>45244</v>
      </c>
    </row>
    <row r="20" spans="1:6" x14ac:dyDescent="0.25">
      <c r="A20" t="s">
        <v>475</v>
      </c>
      <c r="B20" t="s">
        <v>260</v>
      </c>
      <c r="C20" t="s">
        <v>476</v>
      </c>
      <c r="D20" t="s">
        <v>452</v>
      </c>
      <c r="E20">
        <v>1882.8</v>
      </c>
      <c r="F20" s="1">
        <v>44963</v>
      </c>
    </row>
    <row r="21" spans="1:6" x14ac:dyDescent="0.25">
      <c r="A21" t="s">
        <v>477</v>
      </c>
      <c r="B21" t="s">
        <v>262</v>
      </c>
      <c r="C21" t="s">
        <v>451</v>
      </c>
      <c r="D21" t="s">
        <v>455</v>
      </c>
      <c r="E21">
        <v>4113.62</v>
      </c>
      <c r="F21" s="1">
        <v>45265</v>
      </c>
    </row>
    <row r="22" spans="1:6" x14ac:dyDescent="0.25">
      <c r="A22" t="s">
        <v>478</v>
      </c>
      <c r="B22" t="s">
        <v>264</v>
      </c>
      <c r="C22" t="s">
        <v>476</v>
      </c>
      <c r="D22" t="s">
        <v>455</v>
      </c>
      <c r="E22">
        <v>2926.23</v>
      </c>
      <c r="F22" s="1">
        <v>45040</v>
      </c>
    </row>
    <row r="23" spans="1:6" x14ac:dyDescent="0.25">
      <c r="A23" t="s">
        <v>479</v>
      </c>
      <c r="B23" t="s">
        <v>265</v>
      </c>
      <c r="C23" t="s">
        <v>464</v>
      </c>
      <c r="D23" t="s">
        <v>455</v>
      </c>
      <c r="E23">
        <v>1900.88</v>
      </c>
      <c r="F23" s="1">
        <v>45244</v>
      </c>
    </row>
    <row r="24" spans="1:6" x14ac:dyDescent="0.25">
      <c r="A24" t="s">
        <v>480</v>
      </c>
      <c r="B24" t="s">
        <v>266</v>
      </c>
      <c r="C24" t="s">
        <v>454</v>
      </c>
      <c r="D24" t="s">
        <v>457</v>
      </c>
      <c r="E24">
        <v>3246.5</v>
      </c>
      <c r="F24" s="1">
        <v>45055</v>
      </c>
    </row>
    <row r="25" spans="1:6" x14ac:dyDescent="0.25">
      <c r="A25" t="s">
        <v>481</v>
      </c>
      <c r="B25" t="s">
        <v>267</v>
      </c>
      <c r="C25" t="s">
        <v>460</v>
      </c>
      <c r="D25" t="s">
        <v>455</v>
      </c>
      <c r="E25">
        <v>3722.68</v>
      </c>
      <c r="F25" s="1">
        <v>45098</v>
      </c>
    </row>
    <row r="26" spans="1:6" x14ac:dyDescent="0.25">
      <c r="A26" t="s">
        <v>482</v>
      </c>
      <c r="B26" t="s">
        <v>268</v>
      </c>
      <c r="C26" t="s">
        <v>460</v>
      </c>
      <c r="D26" t="s">
        <v>455</v>
      </c>
      <c r="E26">
        <v>1726.81</v>
      </c>
      <c r="F26" s="1">
        <v>44982</v>
      </c>
    </row>
    <row r="27" spans="1:6" x14ac:dyDescent="0.25">
      <c r="A27" t="s">
        <v>483</v>
      </c>
      <c r="B27" t="s">
        <v>269</v>
      </c>
      <c r="C27" t="s">
        <v>451</v>
      </c>
      <c r="D27" t="s">
        <v>457</v>
      </c>
      <c r="E27">
        <v>2360.9699999999998</v>
      </c>
      <c r="F27" s="1">
        <v>45002</v>
      </c>
    </row>
    <row r="28" spans="1:6" x14ac:dyDescent="0.25">
      <c r="A28" t="s">
        <v>484</v>
      </c>
      <c r="B28" t="s">
        <v>270</v>
      </c>
      <c r="C28" t="s">
        <v>476</v>
      </c>
      <c r="D28" t="s">
        <v>457</v>
      </c>
      <c r="E28">
        <v>1048.49</v>
      </c>
      <c r="F28" s="1">
        <v>45244</v>
      </c>
    </row>
    <row r="29" spans="1:6" x14ac:dyDescent="0.25">
      <c r="A29" t="s">
        <v>485</v>
      </c>
      <c r="B29" t="s">
        <v>271</v>
      </c>
      <c r="C29" t="s">
        <v>451</v>
      </c>
      <c r="D29" t="s">
        <v>457</v>
      </c>
      <c r="E29">
        <v>1315.17</v>
      </c>
      <c r="F29" s="1">
        <v>45228</v>
      </c>
    </row>
    <row r="30" spans="1:6" x14ac:dyDescent="0.25">
      <c r="A30" t="s">
        <v>486</v>
      </c>
      <c r="B30" t="s">
        <v>273</v>
      </c>
      <c r="C30" t="s">
        <v>454</v>
      </c>
      <c r="D30" t="s">
        <v>452</v>
      </c>
      <c r="E30">
        <v>3565.03</v>
      </c>
      <c r="F30" s="1">
        <v>45102</v>
      </c>
    </row>
    <row r="31" spans="1:6" x14ac:dyDescent="0.25">
      <c r="A31" t="s">
        <v>487</v>
      </c>
      <c r="B31" t="s">
        <v>274</v>
      </c>
      <c r="C31" t="s">
        <v>451</v>
      </c>
      <c r="D31" t="s">
        <v>457</v>
      </c>
      <c r="E31">
        <v>1316.47</v>
      </c>
      <c r="F31" s="1">
        <v>45167</v>
      </c>
    </row>
    <row r="32" spans="1:6" x14ac:dyDescent="0.25">
      <c r="A32" t="s">
        <v>488</v>
      </c>
      <c r="B32" t="s">
        <v>275</v>
      </c>
      <c r="C32" t="s">
        <v>460</v>
      </c>
      <c r="D32" t="s">
        <v>457</v>
      </c>
      <c r="E32">
        <v>2863.24</v>
      </c>
      <c r="F32" s="1">
        <v>45020</v>
      </c>
    </row>
    <row r="33" spans="1:6" x14ac:dyDescent="0.25">
      <c r="A33" t="s">
        <v>489</v>
      </c>
      <c r="B33" t="s">
        <v>276</v>
      </c>
      <c r="C33" t="s">
        <v>460</v>
      </c>
      <c r="D33" t="s">
        <v>455</v>
      </c>
      <c r="E33">
        <v>3690.71</v>
      </c>
      <c r="F33" s="1">
        <v>45236</v>
      </c>
    </row>
    <row r="34" spans="1:6" x14ac:dyDescent="0.25">
      <c r="A34" t="s">
        <v>490</v>
      </c>
      <c r="B34" t="s">
        <v>277</v>
      </c>
      <c r="C34" t="s">
        <v>464</v>
      </c>
      <c r="D34" t="s">
        <v>457</v>
      </c>
      <c r="E34">
        <v>980.95</v>
      </c>
      <c r="F34" s="1">
        <v>45192</v>
      </c>
    </row>
    <row r="35" spans="1:6" x14ac:dyDescent="0.25">
      <c r="A35" t="s">
        <v>491</v>
      </c>
      <c r="B35" t="s">
        <v>278</v>
      </c>
      <c r="C35" t="s">
        <v>464</v>
      </c>
      <c r="D35" t="s">
        <v>452</v>
      </c>
      <c r="E35">
        <v>3052.9</v>
      </c>
      <c r="F35" s="1">
        <v>45090</v>
      </c>
    </row>
    <row r="36" spans="1:6" x14ac:dyDescent="0.25">
      <c r="A36" t="s">
        <v>492</v>
      </c>
      <c r="B36" t="s">
        <v>279</v>
      </c>
      <c r="C36" t="s">
        <v>454</v>
      </c>
      <c r="D36" t="s">
        <v>457</v>
      </c>
      <c r="E36">
        <v>1654.53</v>
      </c>
      <c r="F36" s="1">
        <v>45034</v>
      </c>
    </row>
    <row r="37" spans="1:6" x14ac:dyDescent="0.25">
      <c r="A37" t="s">
        <v>493</v>
      </c>
      <c r="B37" t="s">
        <v>280</v>
      </c>
      <c r="C37" t="s">
        <v>476</v>
      </c>
      <c r="D37" t="s">
        <v>452</v>
      </c>
      <c r="E37">
        <v>4833.17</v>
      </c>
      <c r="F37" s="1">
        <v>44934</v>
      </c>
    </row>
    <row r="38" spans="1:6" x14ac:dyDescent="0.25">
      <c r="A38" t="s">
        <v>494</v>
      </c>
      <c r="B38" t="s">
        <v>281</v>
      </c>
      <c r="C38" t="s">
        <v>451</v>
      </c>
      <c r="D38" t="s">
        <v>457</v>
      </c>
      <c r="E38">
        <v>2675.96</v>
      </c>
      <c r="F38" s="1">
        <v>45013</v>
      </c>
    </row>
    <row r="39" spans="1:6" x14ac:dyDescent="0.25">
      <c r="A39" t="s">
        <v>495</v>
      </c>
      <c r="B39" t="s">
        <v>282</v>
      </c>
      <c r="C39" t="s">
        <v>454</v>
      </c>
      <c r="D39" t="s">
        <v>457</v>
      </c>
      <c r="E39">
        <v>4126.97</v>
      </c>
      <c r="F39" s="1">
        <v>44980</v>
      </c>
    </row>
    <row r="40" spans="1:6" x14ac:dyDescent="0.25">
      <c r="A40" t="s">
        <v>496</v>
      </c>
      <c r="B40" t="s">
        <v>283</v>
      </c>
      <c r="C40" t="s">
        <v>464</v>
      </c>
      <c r="D40" t="s">
        <v>457</v>
      </c>
      <c r="E40">
        <v>2976.02</v>
      </c>
      <c r="F40" s="1">
        <v>45033</v>
      </c>
    </row>
    <row r="41" spans="1:6" x14ac:dyDescent="0.25">
      <c r="A41" t="s">
        <v>497</v>
      </c>
      <c r="B41" t="s">
        <v>284</v>
      </c>
      <c r="C41" t="s">
        <v>451</v>
      </c>
      <c r="D41" t="s">
        <v>457</v>
      </c>
      <c r="E41">
        <v>695.36</v>
      </c>
      <c r="F41" s="1">
        <v>45012</v>
      </c>
    </row>
    <row r="42" spans="1:6" x14ac:dyDescent="0.25">
      <c r="A42" t="s">
        <v>498</v>
      </c>
      <c r="B42" t="s">
        <v>285</v>
      </c>
      <c r="C42" t="s">
        <v>464</v>
      </c>
      <c r="D42" t="s">
        <v>452</v>
      </c>
      <c r="E42">
        <v>3349.18</v>
      </c>
      <c r="F42" s="1">
        <v>44927</v>
      </c>
    </row>
    <row r="43" spans="1:6" x14ac:dyDescent="0.25">
      <c r="A43" t="s">
        <v>499</v>
      </c>
      <c r="B43" t="s">
        <v>286</v>
      </c>
      <c r="C43" t="s">
        <v>451</v>
      </c>
      <c r="D43" t="s">
        <v>452</v>
      </c>
      <c r="E43">
        <v>4781.32</v>
      </c>
      <c r="F43" s="1">
        <v>45006</v>
      </c>
    </row>
    <row r="44" spans="1:6" x14ac:dyDescent="0.25">
      <c r="A44" t="s">
        <v>500</v>
      </c>
      <c r="B44" t="s">
        <v>287</v>
      </c>
      <c r="C44" t="s">
        <v>476</v>
      </c>
      <c r="D44" t="s">
        <v>455</v>
      </c>
      <c r="E44">
        <v>3207.25</v>
      </c>
      <c r="F44" s="1">
        <v>45014</v>
      </c>
    </row>
    <row r="45" spans="1:6" x14ac:dyDescent="0.25">
      <c r="A45" t="s">
        <v>501</v>
      </c>
      <c r="B45" t="s">
        <v>288</v>
      </c>
      <c r="C45" t="s">
        <v>454</v>
      </c>
      <c r="D45" t="s">
        <v>452</v>
      </c>
      <c r="E45">
        <v>4186.3500000000004</v>
      </c>
      <c r="F45" s="1">
        <v>45189</v>
      </c>
    </row>
    <row r="46" spans="1:6" x14ac:dyDescent="0.25">
      <c r="A46" t="s">
        <v>502</v>
      </c>
      <c r="B46" t="s">
        <v>289</v>
      </c>
      <c r="C46" t="s">
        <v>451</v>
      </c>
      <c r="D46" t="s">
        <v>457</v>
      </c>
      <c r="E46">
        <v>4478.93</v>
      </c>
      <c r="F46" s="1">
        <v>45197</v>
      </c>
    </row>
    <row r="47" spans="1:6" x14ac:dyDescent="0.25">
      <c r="A47" t="s">
        <v>503</v>
      </c>
      <c r="B47" t="s">
        <v>290</v>
      </c>
      <c r="C47" t="s">
        <v>460</v>
      </c>
      <c r="D47" t="s">
        <v>455</v>
      </c>
      <c r="E47">
        <v>1526.36</v>
      </c>
      <c r="F47" s="1">
        <v>45280</v>
      </c>
    </row>
    <row r="48" spans="1:6" x14ac:dyDescent="0.25">
      <c r="A48" t="s">
        <v>504</v>
      </c>
      <c r="B48" t="s">
        <v>291</v>
      </c>
      <c r="C48" t="s">
        <v>460</v>
      </c>
      <c r="D48" t="s">
        <v>455</v>
      </c>
      <c r="E48">
        <v>1454.2</v>
      </c>
      <c r="F48" s="1">
        <v>45048</v>
      </c>
    </row>
    <row r="49" spans="1:6" x14ac:dyDescent="0.25">
      <c r="A49" t="s">
        <v>505</v>
      </c>
      <c r="B49" t="s">
        <v>292</v>
      </c>
      <c r="C49" t="s">
        <v>451</v>
      </c>
      <c r="D49" t="s">
        <v>455</v>
      </c>
      <c r="E49">
        <v>3249.41</v>
      </c>
      <c r="F49" s="1">
        <v>44942</v>
      </c>
    </row>
    <row r="50" spans="1:6" x14ac:dyDescent="0.25">
      <c r="A50" t="s">
        <v>506</v>
      </c>
      <c r="B50" t="s">
        <v>293</v>
      </c>
      <c r="C50" t="s">
        <v>451</v>
      </c>
      <c r="D50" t="s">
        <v>457</v>
      </c>
      <c r="E50">
        <v>2349.63</v>
      </c>
      <c r="F50" s="1">
        <v>45046</v>
      </c>
    </row>
    <row r="51" spans="1:6" x14ac:dyDescent="0.25">
      <c r="A51" t="s">
        <v>507</v>
      </c>
      <c r="B51" t="s">
        <v>294</v>
      </c>
      <c r="C51" t="s">
        <v>451</v>
      </c>
      <c r="D51" t="s">
        <v>452</v>
      </c>
      <c r="E51">
        <v>4279.38</v>
      </c>
      <c r="F51" s="1">
        <v>45154</v>
      </c>
    </row>
    <row r="52" spans="1:6" x14ac:dyDescent="0.25">
      <c r="A52" t="s">
        <v>508</v>
      </c>
      <c r="B52" t="s">
        <v>295</v>
      </c>
      <c r="C52" t="s">
        <v>460</v>
      </c>
      <c r="D52" t="s">
        <v>457</v>
      </c>
      <c r="E52">
        <v>4550.1000000000004</v>
      </c>
      <c r="F52" s="1">
        <v>44961</v>
      </c>
    </row>
    <row r="53" spans="1:6" x14ac:dyDescent="0.25">
      <c r="A53" t="s">
        <v>509</v>
      </c>
      <c r="B53" t="s">
        <v>296</v>
      </c>
      <c r="C53" t="s">
        <v>460</v>
      </c>
      <c r="D53" t="s">
        <v>455</v>
      </c>
      <c r="E53">
        <v>2090.4</v>
      </c>
      <c r="F53" s="1">
        <v>45119</v>
      </c>
    </row>
    <row r="54" spans="1:6" x14ac:dyDescent="0.25">
      <c r="A54" t="s">
        <v>510</v>
      </c>
      <c r="B54" t="s">
        <v>297</v>
      </c>
      <c r="C54" t="s">
        <v>451</v>
      </c>
      <c r="D54" t="s">
        <v>457</v>
      </c>
      <c r="E54">
        <v>1565.92</v>
      </c>
      <c r="F54" s="1">
        <v>44969</v>
      </c>
    </row>
    <row r="55" spans="1:6" x14ac:dyDescent="0.25">
      <c r="A55" t="s">
        <v>511</v>
      </c>
      <c r="B55" t="s">
        <v>298</v>
      </c>
      <c r="C55" t="s">
        <v>464</v>
      </c>
      <c r="D55" t="s">
        <v>457</v>
      </c>
      <c r="E55">
        <v>4012.36</v>
      </c>
      <c r="F55" s="1">
        <v>45276</v>
      </c>
    </row>
    <row r="56" spans="1:6" x14ac:dyDescent="0.25">
      <c r="A56" t="s">
        <v>512</v>
      </c>
      <c r="B56" t="s">
        <v>299</v>
      </c>
      <c r="C56" t="s">
        <v>464</v>
      </c>
      <c r="D56" t="s">
        <v>452</v>
      </c>
      <c r="E56">
        <v>1736.63</v>
      </c>
      <c r="F56" s="1">
        <v>45205</v>
      </c>
    </row>
    <row r="57" spans="1:6" x14ac:dyDescent="0.25">
      <c r="A57" t="s">
        <v>513</v>
      </c>
      <c r="B57" t="s">
        <v>300</v>
      </c>
      <c r="C57" t="s">
        <v>476</v>
      </c>
      <c r="D57" t="s">
        <v>452</v>
      </c>
      <c r="E57">
        <v>4201.76</v>
      </c>
      <c r="F57" s="1">
        <v>44928</v>
      </c>
    </row>
    <row r="58" spans="1:6" x14ac:dyDescent="0.25">
      <c r="A58" t="s">
        <v>514</v>
      </c>
      <c r="B58" t="s">
        <v>301</v>
      </c>
      <c r="C58" t="s">
        <v>454</v>
      </c>
      <c r="D58" t="s">
        <v>455</v>
      </c>
      <c r="E58">
        <v>2406.8200000000002</v>
      </c>
      <c r="F58" s="1">
        <v>45031</v>
      </c>
    </row>
    <row r="59" spans="1:6" x14ac:dyDescent="0.25">
      <c r="A59" t="s">
        <v>515</v>
      </c>
      <c r="B59" t="s">
        <v>302</v>
      </c>
      <c r="C59" t="s">
        <v>464</v>
      </c>
      <c r="D59" t="s">
        <v>457</v>
      </c>
      <c r="E59">
        <v>3503.97</v>
      </c>
      <c r="F59" s="1">
        <v>45055</v>
      </c>
    </row>
    <row r="60" spans="1:6" x14ac:dyDescent="0.25">
      <c r="A60" t="s">
        <v>516</v>
      </c>
      <c r="B60" t="s">
        <v>303</v>
      </c>
      <c r="C60" t="s">
        <v>460</v>
      </c>
      <c r="D60" t="s">
        <v>457</v>
      </c>
      <c r="E60">
        <v>929.91</v>
      </c>
      <c r="F60" s="1">
        <v>44994</v>
      </c>
    </row>
    <row r="61" spans="1:6" x14ac:dyDescent="0.25">
      <c r="A61" t="s">
        <v>517</v>
      </c>
      <c r="B61" t="s">
        <v>304</v>
      </c>
      <c r="C61" t="s">
        <v>464</v>
      </c>
      <c r="D61" t="s">
        <v>452</v>
      </c>
      <c r="E61">
        <v>3307.37</v>
      </c>
      <c r="F61" s="1">
        <v>45252</v>
      </c>
    </row>
    <row r="62" spans="1:6" x14ac:dyDescent="0.25">
      <c r="A62" t="s">
        <v>518</v>
      </c>
      <c r="B62" t="s">
        <v>305</v>
      </c>
      <c r="C62" t="s">
        <v>476</v>
      </c>
      <c r="D62" t="s">
        <v>457</v>
      </c>
      <c r="E62">
        <v>2532.9499999999998</v>
      </c>
      <c r="F62" s="1">
        <v>44941</v>
      </c>
    </row>
    <row r="63" spans="1:6" x14ac:dyDescent="0.25">
      <c r="A63" t="s">
        <v>519</v>
      </c>
      <c r="B63" t="s">
        <v>306</v>
      </c>
      <c r="C63" t="s">
        <v>476</v>
      </c>
      <c r="D63" t="s">
        <v>457</v>
      </c>
      <c r="E63">
        <v>3139.74</v>
      </c>
      <c r="F63" s="1">
        <v>45091</v>
      </c>
    </row>
    <row r="64" spans="1:6" x14ac:dyDescent="0.25">
      <c r="A64" t="s">
        <v>520</v>
      </c>
      <c r="B64" t="s">
        <v>307</v>
      </c>
      <c r="C64" t="s">
        <v>454</v>
      </c>
      <c r="D64" t="s">
        <v>457</v>
      </c>
      <c r="E64">
        <v>1256.06</v>
      </c>
      <c r="F64" s="1">
        <v>45106</v>
      </c>
    </row>
    <row r="65" spans="1:6" x14ac:dyDescent="0.25">
      <c r="A65" t="s">
        <v>521</v>
      </c>
      <c r="B65" t="s">
        <v>308</v>
      </c>
      <c r="C65" t="s">
        <v>464</v>
      </c>
      <c r="D65" t="s">
        <v>452</v>
      </c>
      <c r="E65">
        <v>3815.93</v>
      </c>
      <c r="F65" s="1">
        <v>45077</v>
      </c>
    </row>
    <row r="66" spans="1:6" x14ac:dyDescent="0.25">
      <c r="A66" t="s">
        <v>522</v>
      </c>
      <c r="B66" t="s">
        <v>309</v>
      </c>
      <c r="C66" t="s">
        <v>460</v>
      </c>
      <c r="D66" t="s">
        <v>455</v>
      </c>
      <c r="E66">
        <v>4382.59</v>
      </c>
      <c r="F66" s="1">
        <v>45040</v>
      </c>
    </row>
    <row r="67" spans="1:6" x14ac:dyDescent="0.25">
      <c r="A67" t="s">
        <v>523</v>
      </c>
      <c r="B67" t="s">
        <v>310</v>
      </c>
      <c r="C67" t="s">
        <v>460</v>
      </c>
      <c r="D67" t="s">
        <v>455</v>
      </c>
      <c r="E67">
        <v>1475.33</v>
      </c>
      <c r="F67" s="1">
        <v>45056</v>
      </c>
    </row>
    <row r="68" spans="1:6" x14ac:dyDescent="0.25">
      <c r="A68" t="s">
        <v>524</v>
      </c>
      <c r="B68" t="s">
        <v>311</v>
      </c>
      <c r="C68" t="s">
        <v>451</v>
      </c>
      <c r="D68" t="s">
        <v>457</v>
      </c>
      <c r="E68">
        <v>930.72</v>
      </c>
      <c r="F68" s="1">
        <v>45148</v>
      </c>
    </row>
    <row r="69" spans="1:6" x14ac:dyDescent="0.25">
      <c r="A69" t="s">
        <v>525</v>
      </c>
      <c r="B69" t="s">
        <v>312</v>
      </c>
      <c r="C69" t="s">
        <v>460</v>
      </c>
      <c r="D69" t="s">
        <v>455</v>
      </c>
      <c r="E69">
        <v>606.37</v>
      </c>
      <c r="F69" s="1">
        <v>44999</v>
      </c>
    </row>
    <row r="70" spans="1:6" x14ac:dyDescent="0.25">
      <c r="A70" t="s">
        <v>526</v>
      </c>
      <c r="B70" t="s">
        <v>313</v>
      </c>
      <c r="C70" t="s">
        <v>454</v>
      </c>
      <c r="D70" t="s">
        <v>452</v>
      </c>
      <c r="E70">
        <v>3388.87</v>
      </c>
      <c r="F70" s="1">
        <v>45014</v>
      </c>
    </row>
    <row r="71" spans="1:6" x14ac:dyDescent="0.25">
      <c r="A71" t="s">
        <v>527</v>
      </c>
      <c r="B71" t="s">
        <v>314</v>
      </c>
      <c r="C71" t="s">
        <v>454</v>
      </c>
      <c r="D71" t="s">
        <v>452</v>
      </c>
      <c r="E71">
        <v>3231.92</v>
      </c>
      <c r="F71" s="1">
        <v>45164</v>
      </c>
    </row>
    <row r="72" spans="1:6" x14ac:dyDescent="0.25">
      <c r="A72" t="s">
        <v>528</v>
      </c>
      <c r="B72" t="s">
        <v>315</v>
      </c>
      <c r="C72" t="s">
        <v>460</v>
      </c>
      <c r="D72" t="s">
        <v>455</v>
      </c>
      <c r="E72">
        <v>2960.14</v>
      </c>
      <c r="F72" s="1">
        <v>44952</v>
      </c>
    </row>
    <row r="73" spans="1:6" x14ac:dyDescent="0.25">
      <c r="A73" t="s">
        <v>529</v>
      </c>
      <c r="B73" t="s">
        <v>316</v>
      </c>
      <c r="C73" t="s">
        <v>460</v>
      </c>
      <c r="D73" t="s">
        <v>455</v>
      </c>
      <c r="E73">
        <v>1543.76</v>
      </c>
      <c r="F73" s="1">
        <v>45089</v>
      </c>
    </row>
    <row r="74" spans="1:6" x14ac:dyDescent="0.25">
      <c r="A74" t="s">
        <v>530</v>
      </c>
      <c r="B74" t="s">
        <v>317</v>
      </c>
      <c r="C74" t="s">
        <v>451</v>
      </c>
      <c r="D74" t="s">
        <v>457</v>
      </c>
      <c r="E74">
        <v>2259.08</v>
      </c>
      <c r="F74" s="1">
        <v>45284</v>
      </c>
    </row>
    <row r="75" spans="1:6" x14ac:dyDescent="0.25">
      <c r="A75" t="s">
        <v>531</v>
      </c>
      <c r="B75" t="s">
        <v>318</v>
      </c>
      <c r="C75" t="s">
        <v>460</v>
      </c>
      <c r="D75" t="s">
        <v>455</v>
      </c>
      <c r="E75">
        <v>3175.14</v>
      </c>
      <c r="F75" s="1">
        <v>45130</v>
      </c>
    </row>
    <row r="76" spans="1:6" x14ac:dyDescent="0.25">
      <c r="A76" t="s">
        <v>532</v>
      </c>
      <c r="B76" t="s">
        <v>319</v>
      </c>
      <c r="C76" t="s">
        <v>451</v>
      </c>
      <c r="D76" t="s">
        <v>457</v>
      </c>
      <c r="E76">
        <v>2735.45</v>
      </c>
      <c r="F76" s="1">
        <v>45054</v>
      </c>
    </row>
    <row r="77" spans="1:6" x14ac:dyDescent="0.25">
      <c r="A77" t="s">
        <v>533</v>
      </c>
      <c r="B77" t="s">
        <v>320</v>
      </c>
      <c r="C77" t="s">
        <v>451</v>
      </c>
      <c r="D77" t="s">
        <v>457</v>
      </c>
      <c r="E77">
        <v>4945.03</v>
      </c>
      <c r="F77" s="1">
        <v>45257</v>
      </c>
    </row>
    <row r="78" spans="1:6" x14ac:dyDescent="0.25">
      <c r="A78" t="s">
        <v>534</v>
      </c>
      <c r="B78" t="s">
        <v>321</v>
      </c>
      <c r="C78" t="s">
        <v>460</v>
      </c>
      <c r="D78" t="s">
        <v>452</v>
      </c>
      <c r="E78">
        <v>1113.98</v>
      </c>
      <c r="F78" s="1">
        <v>45274</v>
      </c>
    </row>
    <row r="79" spans="1:6" x14ac:dyDescent="0.25">
      <c r="A79" t="s">
        <v>535</v>
      </c>
      <c r="B79" t="s">
        <v>322</v>
      </c>
      <c r="C79" t="s">
        <v>476</v>
      </c>
      <c r="D79" t="s">
        <v>452</v>
      </c>
      <c r="E79">
        <v>3628.15</v>
      </c>
      <c r="F79" s="1">
        <v>45186</v>
      </c>
    </row>
    <row r="80" spans="1:6" x14ac:dyDescent="0.25">
      <c r="A80" t="s">
        <v>536</v>
      </c>
      <c r="B80" t="s">
        <v>323</v>
      </c>
      <c r="C80" t="s">
        <v>476</v>
      </c>
      <c r="D80" t="s">
        <v>452</v>
      </c>
      <c r="E80">
        <v>2319.4299999999998</v>
      </c>
      <c r="F80" s="1">
        <v>45286</v>
      </c>
    </row>
    <row r="81" spans="1:6" x14ac:dyDescent="0.25">
      <c r="A81" t="s">
        <v>537</v>
      </c>
      <c r="B81" t="s">
        <v>324</v>
      </c>
      <c r="C81" t="s">
        <v>451</v>
      </c>
      <c r="D81" t="s">
        <v>452</v>
      </c>
      <c r="E81">
        <v>2426.9</v>
      </c>
      <c r="F81" s="1">
        <v>45103</v>
      </c>
    </row>
    <row r="82" spans="1:6" x14ac:dyDescent="0.25">
      <c r="A82" t="s">
        <v>538</v>
      </c>
      <c r="B82" t="s">
        <v>325</v>
      </c>
      <c r="C82" t="s">
        <v>460</v>
      </c>
      <c r="D82" t="s">
        <v>455</v>
      </c>
      <c r="E82">
        <v>3729.19</v>
      </c>
      <c r="F82" s="1">
        <v>44932</v>
      </c>
    </row>
    <row r="83" spans="1:6" x14ac:dyDescent="0.25">
      <c r="A83" t="s">
        <v>539</v>
      </c>
      <c r="B83" t="s">
        <v>326</v>
      </c>
      <c r="C83" t="s">
        <v>476</v>
      </c>
      <c r="D83" t="s">
        <v>452</v>
      </c>
      <c r="E83">
        <v>3615.96</v>
      </c>
      <c r="F83" s="1">
        <v>44946</v>
      </c>
    </row>
    <row r="84" spans="1:6" x14ac:dyDescent="0.25">
      <c r="A84" t="s">
        <v>540</v>
      </c>
      <c r="B84" t="s">
        <v>327</v>
      </c>
      <c r="C84" t="s">
        <v>460</v>
      </c>
      <c r="D84" t="s">
        <v>455</v>
      </c>
      <c r="E84">
        <v>4960.6499999999996</v>
      </c>
      <c r="F84" s="1">
        <v>45237</v>
      </c>
    </row>
    <row r="85" spans="1:6" x14ac:dyDescent="0.25">
      <c r="A85" t="s">
        <v>541</v>
      </c>
      <c r="B85" t="s">
        <v>328</v>
      </c>
      <c r="C85" t="s">
        <v>460</v>
      </c>
      <c r="D85" t="s">
        <v>452</v>
      </c>
      <c r="E85">
        <v>1077.77</v>
      </c>
      <c r="F85" s="1">
        <v>45077</v>
      </c>
    </row>
    <row r="86" spans="1:6" x14ac:dyDescent="0.25">
      <c r="A86" t="s">
        <v>542</v>
      </c>
      <c r="B86" t="s">
        <v>329</v>
      </c>
      <c r="C86" t="s">
        <v>460</v>
      </c>
      <c r="D86" t="s">
        <v>455</v>
      </c>
      <c r="E86">
        <v>968.49</v>
      </c>
      <c r="F86" s="1">
        <v>44975</v>
      </c>
    </row>
    <row r="87" spans="1:6" x14ac:dyDescent="0.25">
      <c r="A87" t="s">
        <v>543</v>
      </c>
      <c r="B87" t="s">
        <v>330</v>
      </c>
      <c r="C87" t="s">
        <v>464</v>
      </c>
      <c r="D87" t="s">
        <v>457</v>
      </c>
      <c r="E87">
        <v>3759.52</v>
      </c>
      <c r="F87" s="1">
        <v>45228</v>
      </c>
    </row>
    <row r="88" spans="1:6" x14ac:dyDescent="0.25">
      <c r="A88" t="s">
        <v>544</v>
      </c>
      <c r="B88" t="s">
        <v>331</v>
      </c>
      <c r="C88" t="s">
        <v>460</v>
      </c>
      <c r="D88" t="s">
        <v>455</v>
      </c>
      <c r="E88">
        <v>3102.74</v>
      </c>
      <c r="F88" s="1">
        <v>45218</v>
      </c>
    </row>
    <row r="89" spans="1:6" x14ac:dyDescent="0.25">
      <c r="A89" t="s">
        <v>545</v>
      </c>
      <c r="B89" t="s">
        <v>332</v>
      </c>
      <c r="C89" t="s">
        <v>464</v>
      </c>
      <c r="D89" t="s">
        <v>455</v>
      </c>
      <c r="E89">
        <v>1733.72</v>
      </c>
      <c r="F89" s="1">
        <v>45048</v>
      </c>
    </row>
    <row r="90" spans="1:6" x14ac:dyDescent="0.25">
      <c r="A90" t="s">
        <v>546</v>
      </c>
      <c r="B90" t="s">
        <v>333</v>
      </c>
      <c r="C90" t="s">
        <v>451</v>
      </c>
      <c r="D90" t="s">
        <v>452</v>
      </c>
      <c r="E90">
        <v>857.39</v>
      </c>
      <c r="F90" s="1">
        <v>44971</v>
      </c>
    </row>
    <row r="91" spans="1:6" x14ac:dyDescent="0.25">
      <c r="A91" t="s">
        <v>547</v>
      </c>
      <c r="B91" t="s">
        <v>334</v>
      </c>
      <c r="C91" t="s">
        <v>476</v>
      </c>
      <c r="D91" t="s">
        <v>455</v>
      </c>
      <c r="E91">
        <v>885.46</v>
      </c>
      <c r="F91" s="1">
        <v>45078</v>
      </c>
    </row>
    <row r="92" spans="1:6" x14ac:dyDescent="0.25">
      <c r="A92" t="s">
        <v>548</v>
      </c>
      <c r="B92" t="s">
        <v>335</v>
      </c>
      <c r="C92" t="s">
        <v>476</v>
      </c>
      <c r="D92" t="s">
        <v>457</v>
      </c>
      <c r="E92">
        <v>4523.8599999999997</v>
      </c>
      <c r="F92" s="1">
        <v>45088</v>
      </c>
    </row>
    <row r="93" spans="1:6" x14ac:dyDescent="0.25">
      <c r="A93" t="s">
        <v>549</v>
      </c>
      <c r="B93" t="s">
        <v>336</v>
      </c>
      <c r="C93" t="s">
        <v>476</v>
      </c>
      <c r="D93" t="s">
        <v>457</v>
      </c>
      <c r="E93">
        <v>1363.4</v>
      </c>
      <c r="F93" s="1">
        <v>44956</v>
      </c>
    </row>
    <row r="94" spans="1:6" x14ac:dyDescent="0.25">
      <c r="A94" t="s">
        <v>550</v>
      </c>
      <c r="B94" t="s">
        <v>337</v>
      </c>
      <c r="C94" t="s">
        <v>476</v>
      </c>
      <c r="D94" t="s">
        <v>452</v>
      </c>
      <c r="E94">
        <v>1955.17</v>
      </c>
      <c r="F94" s="1">
        <v>45025</v>
      </c>
    </row>
    <row r="95" spans="1:6" x14ac:dyDescent="0.25">
      <c r="A95" t="s">
        <v>551</v>
      </c>
      <c r="B95" t="s">
        <v>338</v>
      </c>
      <c r="C95" t="s">
        <v>476</v>
      </c>
      <c r="D95" t="s">
        <v>457</v>
      </c>
      <c r="E95">
        <v>1519.95</v>
      </c>
      <c r="F95" s="1">
        <v>45024</v>
      </c>
    </row>
    <row r="96" spans="1:6" x14ac:dyDescent="0.25">
      <c r="A96" t="s">
        <v>552</v>
      </c>
      <c r="B96" t="s">
        <v>339</v>
      </c>
      <c r="C96" t="s">
        <v>476</v>
      </c>
      <c r="D96" t="s">
        <v>455</v>
      </c>
      <c r="E96">
        <v>2097.48</v>
      </c>
      <c r="F96" s="1">
        <v>45055</v>
      </c>
    </row>
    <row r="97" spans="1:6" x14ac:dyDescent="0.25">
      <c r="A97" t="s">
        <v>553</v>
      </c>
      <c r="B97" t="s">
        <v>340</v>
      </c>
      <c r="C97" t="s">
        <v>476</v>
      </c>
      <c r="D97" t="s">
        <v>457</v>
      </c>
      <c r="E97">
        <v>812.41</v>
      </c>
      <c r="F97" s="1">
        <v>45114</v>
      </c>
    </row>
    <row r="98" spans="1:6" x14ac:dyDescent="0.25">
      <c r="A98" t="s">
        <v>554</v>
      </c>
      <c r="B98" t="s">
        <v>341</v>
      </c>
      <c r="C98" t="s">
        <v>451</v>
      </c>
      <c r="D98" t="s">
        <v>452</v>
      </c>
      <c r="E98">
        <v>2835.77</v>
      </c>
      <c r="F98" s="1">
        <v>45052</v>
      </c>
    </row>
    <row r="99" spans="1:6" x14ac:dyDescent="0.25">
      <c r="A99" t="s">
        <v>555</v>
      </c>
      <c r="B99" t="s">
        <v>342</v>
      </c>
      <c r="C99" t="s">
        <v>460</v>
      </c>
      <c r="D99" t="s">
        <v>455</v>
      </c>
      <c r="E99">
        <v>804.26</v>
      </c>
      <c r="F99" s="1">
        <v>45002</v>
      </c>
    </row>
    <row r="100" spans="1:6" x14ac:dyDescent="0.25">
      <c r="A100" t="s">
        <v>556</v>
      </c>
      <c r="B100" t="s">
        <v>343</v>
      </c>
      <c r="C100" t="s">
        <v>454</v>
      </c>
      <c r="D100" t="s">
        <v>452</v>
      </c>
      <c r="E100">
        <v>4101.6000000000004</v>
      </c>
      <c r="F100" s="1">
        <v>45111</v>
      </c>
    </row>
    <row r="101" spans="1:6" x14ac:dyDescent="0.25">
      <c r="A101" t="s">
        <v>557</v>
      </c>
      <c r="B101" t="s">
        <v>344</v>
      </c>
      <c r="C101" t="s">
        <v>464</v>
      </c>
      <c r="D101" t="s">
        <v>455</v>
      </c>
      <c r="E101">
        <v>1551.7</v>
      </c>
      <c r="F101" s="1">
        <v>44987</v>
      </c>
    </row>
    <row r="102" spans="1:6" x14ac:dyDescent="0.25">
      <c r="A102" t="s">
        <v>558</v>
      </c>
      <c r="B102" t="s">
        <v>345</v>
      </c>
      <c r="C102" t="s">
        <v>454</v>
      </c>
      <c r="D102" t="s">
        <v>457</v>
      </c>
      <c r="E102">
        <v>2930.05</v>
      </c>
      <c r="F102" s="1">
        <v>45190</v>
      </c>
    </row>
    <row r="103" spans="1:6" x14ac:dyDescent="0.25">
      <c r="A103" t="s">
        <v>559</v>
      </c>
      <c r="B103" t="s">
        <v>346</v>
      </c>
      <c r="C103" t="s">
        <v>454</v>
      </c>
      <c r="D103" t="s">
        <v>452</v>
      </c>
      <c r="E103">
        <v>4460.3599999999997</v>
      </c>
      <c r="F103" s="1">
        <v>45224</v>
      </c>
    </row>
    <row r="104" spans="1:6" x14ac:dyDescent="0.25">
      <c r="A104" t="s">
        <v>560</v>
      </c>
      <c r="B104" t="s">
        <v>347</v>
      </c>
      <c r="C104" t="s">
        <v>460</v>
      </c>
      <c r="D104" t="s">
        <v>452</v>
      </c>
      <c r="E104">
        <v>3428.95</v>
      </c>
      <c r="F104" s="1">
        <v>44950</v>
      </c>
    </row>
    <row r="105" spans="1:6" x14ac:dyDescent="0.25">
      <c r="A105" t="s">
        <v>561</v>
      </c>
      <c r="B105" t="s">
        <v>348</v>
      </c>
      <c r="C105" t="s">
        <v>460</v>
      </c>
      <c r="D105" t="s">
        <v>455</v>
      </c>
      <c r="E105">
        <v>2898.31</v>
      </c>
      <c r="F105" s="1">
        <v>45034</v>
      </c>
    </row>
    <row r="106" spans="1:6" x14ac:dyDescent="0.25">
      <c r="A106" t="s">
        <v>562</v>
      </c>
      <c r="B106" t="s">
        <v>349</v>
      </c>
      <c r="C106" t="s">
        <v>460</v>
      </c>
      <c r="D106" t="s">
        <v>452</v>
      </c>
      <c r="E106">
        <v>1959.5</v>
      </c>
      <c r="F106" s="1">
        <v>45152</v>
      </c>
    </row>
    <row r="107" spans="1:6" x14ac:dyDescent="0.25">
      <c r="A107" t="s">
        <v>563</v>
      </c>
      <c r="B107" t="s">
        <v>350</v>
      </c>
      <c r="C107" t="s">
        <v>476</v>
      </c>
      <c r="D107" t="s">
        <v>455</v>
      </c>
      <c r="E107">
        <v>1998.51</v>
      </c>
      <c r="F107" s="1">
        <v>45228</v>
      </c>
    </row>
    <row r="108" spans="1:6" x14ac:dyDescent="0.25">
      <c r="A108" t="s">
        <v>564</v>
      </c>
      <c r="B108" t="s">
        <v>351</v>
      </c>
      <c r="C108" t="s">
        <v>451</v>
      </c>
      <c r="D108" t="s">
        <v>455</v>
      </c>
      <c r="E108">
        <v>3512.69</v>
      </c>
      <c r="F108" s="1">
        <v>45033</v>
      </c>
    </row>
    <row r="109" spans="1:6" x14ac:dyDescent="0.25">
      <c r="A109" t="s">
        <v>565</v>
      </c>
      <c r="B109" t="s">
        <v>352</v>
      </c>
      <c r="C109" t="s">
        <v>476</v>
      </c>
      <c r="D109" t="s">
        <v>455</v>
      </c>
      <c r="E109">
        <v>4973.63</v>
      </c>
      <c r="F109" s="1">
        <v>45037</v>
      </c>
    </row>
    <row r="110" spans="1:6" x14ac:dyDescent="0.25">
      <c r="A110" t="s">
        <v>566</v>
      </c>
      <c r="B110" t="s">
        <v>353</v>
      </c>
      <c r="C110" t="s">
        <v>451</v>
      </c>
      <c r="D110" t="s">
        <v>455</v>
      </c>
      <c r="E110">
        <v>3478.28</v>
      </c>
      <c r="F110" s="1">
        <v>45136</v>
      </c>
    </row>
    <row r="111" spans="1:6" x14ac:dyDescent="0.25">
      <c r="A111" t="s">
        <v>567</v>
      </c>
      <c r="B111" t="s">
        <v>354</v>
      </c>
      <c r="C111" t="s">
        <v>451</v>
      </c>
      <c r="D111" t="s">
        <v>457</v>
      </c>
      <c r="E111">
        <v>3010.03</v>
      </c>
      <c r="F111" s="1">
        <v>45126</v>
      </c>
    </row>
    <row r="112" spans="1:6" x14ac:dyDescent="0.25">
      <c r="A112" t="s">
        <v>568</v>
      </c>
      <c r="B112" t="s">
        <v>355</v>
      </c>
      <c r="C112" t="s">
        <v>454</v>
      </c>
      <c r="D112" t="s">
        <v>455</v>
      </c>
      <c r="E112">
        <v>3787.93</v>
      </c>
      <c r="F112" s="1">
        <v>45068</v>
      </c>
    </row>
    <row r="113" spans="1:6" x14ac:dyDescent="0.25">
      <c r="A113" t="s">
        <v>569</v>
      </c>
      <c r="B113" t="s">
        <v>356</v>
      </c>
      <c r="C113" t="s">
        <v>454</v>
      </c>
      <c r="D113" t="s">
        <v>452</v>
      </c>
      <c r="E113">
        <v>2593.4299999999998</v>
      </c>
      <c r="F113" s="1">
        <v>44937</v>
      </c>
    </row>
    <row r="114" spans="1:6" x14ac:dyDescent="0.25">
      <c r="A114" t="s">
        <v>570</v>
      </c>
      <c r="B114" t="s">
        <v>357</v>
      </c>
      <c r="C114" t="s">
        <v>451</v>
      </c>
      <c r="D114" t="s">
        <v>457</v>
      </c>
      <c r="E114">
        <v>770.64</v>
      </c>
      <c r="F114" s="1">
        <v>45254</v>
      </c>
    </row>
    <row r="115" spans="1:6" x14ac:dyDescent="0.25">
      <c r="A115" t="s">
        <v>571</v>
      </c>
      <c r="B115" t="s">
        <v>358</v>
      </c>
      <c r="C115" t="s">
        <v>451</v>
      </c>
      <c r="D115" t="s">
        <v>452</v>
      </c>
      <c r="E115">
        <v>3030.34</v>
      </c>
      <c r="F115" s="1">
        <v>45146</v>
      </c>
    </row>
    <row r="116" spans="1:6" x14ac:dyDescent="0.25">
      <c r="A116" t="s">
        <v>572</v>
      </c>
      <c r="B116" t="s">
        <v>359</v>
      </c>
      <c r="C116" t="s">
        <v>476</v>
      </c>
      <c r="D116" t="s">
        <v>457</v>
      </c>
      <c r="E116">
        <v>4809.3100000000004</v>
      </c>
      <c r="F116" s="1">
        <v>45224</v>
      </c>
    </row>
    <row r="117" spans="1:6" x14ac:dyDescent="0.25">
      <c r="A117" t="s">
        <v>573</v>
      </c>
      <c r="B117" t="s">
        <v>360</v>
      </c>
      <c r="C117" t="s">
        <v>476</v>
      </c>
      <c r="D117" t="s">
        <v>455</v>
      </c>
      <c r="E117">
        <v>1288.8599999999999</v>
      </c>
      <c r="F117" s="1">
        <v>45114</v>
      </c>
    </row>
    <row r="118" spans="1:6" x14ac:dyDescent="0.25">
      <c r="A118" t="s">
        <v>574</v>
      </c>
      <c r="B118" t="s">
        <v>361</v>
      </c>
      <c r="C118" t="s">
        <v>454</v>
      </c>
      <c r="D118" t="s">
        <v>457</v>
      </c>
      <c r="E118">
        <v>3605.02</v>
      </c>
      <c r="F118" s="1">
        <v>45097</v>
      </c>
    </row>
    <row r="119" spans="1:6" x14ac:dyDescent="0.25">
      <c r="A119" t="s">
        <v>575</v>
      </c>
      <c r="B119" t="s">
        <v>362</v>
      </c>
      <c r="C119" t="s">
        <v>460</v>
      </c>
      <c r="D119" t="s">
        <v>457</v>
      </c>
      <c r="E119">
        <v>1404.2</v>
      </c>
      <c r="F119" s="1">
        <v>45147</v>
      </c>
    </row>
    <row r="120" spans="1:6" x14ac:dyDescent="0.25">
      <c r="A120" t="s">
        <v>576</v>
      </c>
      <c r="B120" t="s">
        <v>363</v>
      </c>
      <c r="C120" t="s">
        <v>451</v>
      </c>
      <c r="D120" t="s">
        <v>452</v>
      </c>
      <c r="E120">
        <v>2911.22</v>
      </c>
      <c r="F120" s="1">
        <v>45278</v>
      </c>
    </row>
    <row r="121" spans="1:6" x14ac:dyDescent="0.25">
      <c r="A121" t="s">
        <v>577</v>
      </c>
      <c r="B121" t="s">
        <v>364</v>
      </c>
      <c r="C121" t="s">
        <v>476</v>
      </c>
      <c r="D121" t="s">
        <v>452</v>
      </c>
      <c r="E121">
        <v>935.04</v>
      </c>
      <c r="F121" s="1">
        <v>45268</v>
      </c>
    </row>
    <row r="122" spans="1:6" x14ac:dyDescent="0.25">
      <c r="A122" t="s">
        <v>578</v>
      </c>
      <c r="B122" t="s">
        <v>365</v>
      </c>
      <c r="C122" t="s">
        <v>454</v>
      </c>
      <c r="D122" t="s">
        <v>455</v>
      </c>
      <c r="E122">
        <v>2526.67</v>
      </c>
      <c r="F122" s="1">
        <v>45023</v>
      </c>
    </row>
    <row r="123" spans="1:6" x14ac:dyDescent="0.25">
      <c r="A123" t="s">
        <v>579</v>
      </c>
      <c r="B123" t="s">
        <v>366</v>
      </c>
      <c r="C123" t="s">
        <v>476</v>
      </c>
      <c r="D123" t="s">
        <v>457</v>
      </c>
      <c r="E123">
        <v>3902.73</v>
      </c>
      <c r="F123" s="1">
        <v>45118</v>
      </c>
    </row>
    <row r="124" spans="1:6" x14ac:dyDescent="0.25">
      <c r="A124" t="s">
        <v>580</v>
      </c>
      <c r="B124" t="s">
        <v>367</v>
      </c>
      <c r="C124" t="s">
        <v>451</v>
      </c>
      <c r="D124" t="s">
        <v>457</v>
      </c>
      <c r="E124">
        <v>2064.0700000000002</v>
      </c>
      <c r="F124" s="1">
        <v>44985</v>
      </c>
    </row>
    <row r="125" spans="1:6" x14ac:dyDescent="0.25">
      <c r="A125" t="s">
        <v>581</v>
      </c>
      <c r="B125" t="s">
        <v>368</v>
      </c>
      <c r="C125" t="s">
        <v>451</v>
      </c>
      <c r="D125" t="s">
        <v>457</v>
      </c>
      <c r="E125">
        <v>3492.1</v>
      </c>
      <c r="F125" s="1">
        <v>45001</v>
      </c>
    </row>
    <row r="126" spans="1:6" x14ac:dyDescent="0.25">
      <c r="A126" t="s">
        <v>582</v>
      </c>
      <c r="B126" t="s">
        <v>369</v>
      </c>
      <c r="C126" t="s">
        <v>464</v>
      </c>
      <c r="D126" t="s">
        <v>455</v>
      </c>
      <c r="E126">
        <v>4079.52</v>
      </c>
      <c r="F126" s="1">
        <v>44975</v>
      </c>
    </row>
    <row r="127" spans="1:6" x14ac:dyDescent="0.25">
      <c r="A127" t="s">
        <v>583</v>
      </c>
      <c r="B127" t="s">
        <v>370</v>
      </c>
      <c r="C127" t="s">
        <v>460</v>
      </c>
      <c r="D127" t="s">
        <v>455</v>
      </c>
      <c r="E127">
        <v>4672.3</v>
      </c>
      <c r="F127" s="1">
        <v>45232</v>
      </c>
    </row>
    <row r="128" spans="1:6" x14ac:dyDescent="0.25">
      <c r="A128" t="s">
        <v>584</v>
      </c>
      <c r="B128" t="s">
        <v>371</v>
      </c>
      <c r="C128" t="s">
        <v>464</v>
      </c>
      <c r="D128" t="s">
        <v>455</v>
      </c>
      <c r="E128">
        <v>1555.89</v>
      </c>
      <c r="F128" s="1">
        <v>45243</v>
      </c>
    </row>
    <row r="129" spans="1:6" x14ac:dyDescent="0.25">
      <c r="A129" t="s">
        <v>585</v>
      </c>
      <c r="B129" t="s">
        <v>372</v>
      </c>
      <c r="C129" t="s">
        <v>454</v>
      </c>
      <c r="D129" t="s">
        <v>455</v>
      </c>
      <c r="E129">
        <v>2296.92</v>
      </c>
      <c r="F129" s="1">
        <v>45031</v>
      </c>
    </row>
    <row r="130" spans="1:6" x14ac:dyDescent="0.25">
      <c r="A130" t="s">
        <v>586</v>
      </c>
      <c r="B130" t="s">
        <v>373</v>
      </c>
      <c r="C130" t="s">
        <v>476</v>
      </c>
      <c r="D130" t="s">
        <v>455</v>
      </c>
      <c r="E130">
        <v>1185.8699999999999</v>
      </c>
      <c r="F130" s="1">
        <v>45163</v>
      </c>
    </row>
    <row r="131" spans="1:6" x14ac:dyDescent="0.25">
      <c r="A131" t="s">
        <v>587</v>
      </c>
      <c r="B131" t="s">
        <v>374</v>
      </c>
      <c r="C131" t="s">
        <v>454</v>
      </c>
      <c r="D131" t="s">
        <v>452</v>
      </c>
      <c r="E131">
        <v>4966.18</v>
      </c>
      <c r="F131" s="1">
        <v>44980</v>
      </c>
    </row>
    <row r="132" spans="1:6" x14ac:dyDescent="0.25">
      <c r="A132" t="s">
        <v>588</v>
      </c>
      <c r="B132" t="s">
        <v>375</v>
      </c>
      <c r="C132" t="s">
        <v>451</v>
      </c>
      <c r="D132" t="s">
        <v>457</v>
      </c>
      <c r="E132">
        <v>4671.5</v>
      </c>
      <c r="F132" s="1">
        <v>45057</v>
      </c>
    </row>
    <row r="133" spans="1:6" x14ac:dyDescent="0.25">
      <c r="A133" t="s">
        <v>589</v>
      </c>
      <c r="B133" t="s">
        <v>376</v>
      </c>
      <c r="C133" t="s">
        <v>464</v>
      </c>
      <c r="D133" t="s">
        <v>457</v>
      </c>
      <c r="E133">
        <v>2929.81</v>
      </c>
      <c r="F133" s="1">
        <v>45133</v>
      </c>
    </row>
    <row r="134" spans="1:6" x14ac:dyDescent="0.25">
      <c r="A134" t="s">
        <v>590</v>
      </c>
      <c r="B134" t="s">
        <v>377</v>
      </c>
      <c r="C134" t="s">
        <v>464</v>
      </c>
      <c r="D134" t="s">
        <v>457</v>
      </c>
      <c r="E134">
        <v>4289.1499999999996</v>
      </c>
      <c r="F134" s="1">
        <v>45008</v>
      </c>
    </row>
    <row r="135" spans="1:6" x14ac:dyDescent="0.25">
      <c r="A135" t="s">
        <v>591</v>
      </c>
      <c r="B135" t="s">
        <v>378</v>
      </c>
      <c r="C135" t="s">
        <v>464</v>
      </c>
      <c r="D135" t="s">
        <v>457</v>
      </c>
      <c r="E135">
        <v>2844.31</v>
      </c>
      <c r="F135" s="1">
        <v>45216</v>
      </c>
    </row>
    <row r="136" spans="1:6" x14ac:dyDescent="0.25">
      <c r="A136" t="s">
        <v>592</v>
      </c>
      <c r="B136" t="s">
        <v>379</v>
      </c>
      <c r="C136" t="s">
        <v>454</v>
      </c>
      <c r="D136" t="s">
        <v>457</v>
      </c>
      <c r="E136">
        <v>3306.14</v>
      </c>
      <c r="F136" s="1">
        <v>45178</v>
      </c>
    </row>
    <row r="137" spans="1:6" x14ac:dyDescent="0.25">
      <c r="A137" t="s">
        <v>593</v>
      </c>
      <c r="B137" t="s">
        <v>380</v>
      </c>
      <c r="C137" t="s">
        <v>451</v>
      </c>
      <c r="D137" t="s">
        <v>457</v>
      </c>
      <c r="E137">
        <v>901.06</v>
      </c>
      <c r="F137" s="1">
        <v>45059</v>
      </c>
    </row>
    <row r="138" spans="1:6" x14ac:dyDescent="0.25">
      <c r="A138" t="s">
        <v>594</v>
      </c>
      <c r="B138" t="s">
        <v>381</v>
      </c>
      <c r="C138" t="s">
        <v>476</v>
      </c>
      <c r="D138" t="s">
        <v>457</v>
      </c>
      <c r="E138">
        <v>3898.72</v>
      </c>
      <c r="F138" s="1">
        <v>45224</v>
      </c>
    </row>
    <row r="139" spans="1:6" x14ac:dyDescent="0.25">
      <c r="A139" t="s">
        <v>595</v>
      </c>
      <c r="B139" t="s">
        <v>382</v>
      </c>
      <c r="C139" t="s">
        <v>476</v>
      </c>
      <c r="D139" t="s">
        <v>457</v>
      </c>
      <c r="E139">
        <v>1074.71</v>
      </c>
      <c r="F139" s="1">
        <v>45286</v>
      </c>
    </row>
    <row r="140" spans="1:6" x14ac:dyDescent="0.25">
      <c r="A140" t="s">
        <v>596</v>
      </c>
      <c r="B140" t="s">
        <v>383</v>
      </c>
      <c r="C140" t="s">
        <v>454</v>
      </c>
      <c r="D140" t="s">
        <v>452</v>
      </c>
      <c r="E140">
        <v>4217.3</v>
      </c>
      <c r="F140" s="1">
        <v>45209</v>
      </c>
    </row>
    <row r="141" spans="1:6" x14ac:dyDescent="0.25">
      <c r="A141" t="s">
        <v>597</v>
      </c>
      <c r="B141" t="s">
        <v>384</v>
      </c>
      <c r="C141" t="s">
        <v>464</v>
      </c>
      <c r="D141" t="s">
        <v>457</v>
      </c>
      <c r="E141">
        <v>4019.13</v>
      </c>
      <c r="F141" s="1">
        <v>44962</v>
      </c>
    </row>
    <row r="142" spans="1:6" x14ac:dyDescent="0.25">
      <c r="A142" t="s">
        <v>598</v>
      </c>
      <c r="B142" t="s">
        <v>385</v>
      </c>
      <c r="C142" t="s">
        <v>460</v>
      </c>
      <c r="D142" t="s">
        <v>452</v>
      </c>
      <c r="E142">
        <v>3689.35</v>
      </c>
      <c r="F142" s="1">
        <v>45092</v>
      </c>
    </row>
    <row r="143" spans="1:6" x14ac:dyDescent="0.25">
      <c r="A143" t="s">
        <v>599</v>
      </c>
      <c r="B143" t="s">
        <v>386</v>
      </c>
      <c r="C143" t="s">
        <v>454</v>
      </c>
      <c r="D143" t="s">
        <v>455</v>
      </c>
      <c r="E143">
        <v>662.72</v>
      </c>
      <c r="F143" s="1">
        <v>45231</v>
      </c>
    </row>
    <row r="144" spans="1:6" x14ac:dyDescent="0.25">
      <c r="A144" t="s">
        <v>600</v>
      </c>
      <c r="B144" t="s">
        <v>387</v>
      </c>
      <c r="C144" t="s">
        <v>454</v>
      </c>
      <c r="D144" t="s">
        <v>457</v>
      </c>
      <c r="E144">
        <v>1864.08</v>
      </c>
      <c r="F144" s="1">
        <v>45190</v>
      </c>
    </row>
    <row r="145" spans="1:6" x14ac:dyDescent="0.25">
      <c r="A145" t="s">
        <v>601</v>
      </c>
      <c r="B145" t="s">
        <v>388</v>
      </c>
      <c r="C145" t="s">
        <v>451</v>
      </c>
      <c r="D145" t="s">
        <v>455</v>
      </c>
      <c r="E145">
        <v>1684.01</v>
      </c>
      <c r="F145" s="1">
        <v>45154</v>
      </c>
    </row>
    <row r="146" spans="1:6" x14ac:dyDescent="0.25">
      <c r="A146" t="s">
        <v>602</v>
      </c>
      <c r="B146" t="s">
        <v>389</v>
      </c>
      <c r="C146" t="s">
        <v>476</v>
      </c>
      <c r="D146" t="s">
        <v>455</v>
      </c>
      <c r="E146">
        <v>2120.61</v>
      </c>
      <c r="F146" s="1">
        <v>45241</v>
      </c>
    </row>
    <row r="147" spans="1:6" x14ac:dyDescent="0.25">
      <c r="A147" t="s">
        <v>603</v>
      </c>
      <c r="B147" t="s">
        <v>390</v>
      </c>
      <c r="C147" t="s">
        <v>454</v>
      </c>
      <c r="D147" t="s">
        <v>455</v>
      </c>
      <c r="E147">
        <v>894.39</v>
      </c>
      <c r="F147" s="1">
        <v>44931</v>
      </c>
    </row>
    <row r="148" spans="1:6" x14ac:dyDescent="0.25">
      <c r="A148" t="s">
        <v>604</v>
      </c>
      <c r="B148" t="s">
        <v>391</v>
      </c>
      <c r="C148" t="s">
        <v>454</v>
      </c>
      <c r="D148" t="s">
        <v>452</v>
      </c>
      <c r="E148">
        <v>4716.3100000000004</v>
      </c>
      <c r="F148" s="1">
        <v>45243</v>
      </c>
    </row>
    <row r="149" spans="1:6" x14ac:dyDescent="0.25">
      <c r="A149" t="s">
        <v>605</v>
      </c>
      <c r="B149" t="s">
        <v>392</v>
      </c>
      <c r="C149" t="s">
        <v>464</v>
      </c>
      <c r="D149" t="s">
        <v>455</v>
      </c>
      <c r="E149">
        <v>2992.11</v>
      </c>
      <c r="F149" s="1">
        <v>45266</v>
      </c>
    </row>
    <row r="150" spans="1:6" x14ac:dyDescent="0.25">
      <c r="A150" t="s">
        <v>606</v>
      </c>
      <c r="B150" t="s">
        <v>393</v>
      </c>
      <c r="C150" t="s">
        <v>464</v>
      </c>
      <c r="D150" t="s">
        <v>455</v>
      </c>
      <c r="E150">
        <v>1874.86</v>
      </c>
      <c r="F150" s="1">
        <v>45133</v>
      </c>
    </row>
    <row r="151" spans="1:6" x14ac:dyDescent="0.25">
      <c r="A151" t="s">
        <v>607</v>
      </c>
      <c r="B151" t="s">
        <v>394</v>
      </c>
      <c r="C151" t="s">
        <v>460</v>
      </c>
      <c r="D151" t="s">
        <v>455</v>
      </c>
      <c r="E151">
        <v>2286.42</v>
      </c>
      <c r="F151" s="1">
        <v>45154</v>
      </c>
    </row>
    <row r="152" spans="1:6" x14ac:dyDescent="0.25">
      <c r="A152" t="s">
        <v>608</v>
      </c>
      <c r="B152" t="s">
        <v>395</v>
      </c>
      <c r="C152" t="s">
        <v>451</v>
      </c>
      <c r="D152" t="s">
        <v>457</v>
      </c>
      <c r="E152">
        <v>2512.41</v>
      </c>
      <c r="F152" s="1">
        <v>44954</v>
      </c>
    </row>
    <row r="153" spans="1:6" x14ac:dyDescent="0.25">
      <c r="A153" t="s">
        <v>609</v>
      </c>
      <c r="B153" t="s">
        <v>396</v>
      </c>
      <c r="C153" t="s">
        <v>460</v>
      </c>
      <c r="D153" t="s">
        <v>457</v>
      </c>
      <c r="E153">
        <v>3202.67</v>
      </c>
      <c r="F153" s="1">
        <v>45030</v>
      </c>
    </row>
    <row r="154" spans="1:6" x14ac:dyDescent="0.25">
      <c r="A154" t="s">
        <v>610</v>
      </c>
      <c r="B154" t="s">
        <v>397</v>
      </c>
      <c r="C154" t="s">
        <v>464</v>
      </c>
      <c r="D154" t="s">
        <v>452</v>
      </c>
      <c r="E154">
        <v>2820.56</v>
      </c>
      <c r="F154" s="1">
        <v>45115</v>
      </c>
    </row>
    <row r="155" spans="1:6" x14ac:dyDescent="0.25">
      <c r="A155" t="s">
        <v>611</v>
      </c>
      <c r="B155" t="s">
        <v>398</v>
      </c>
      <c r="C155" t="s">
        <v>476</v>
      </c>
      <c r="D155" t="s">
        <v>452</v>
      </c>
      <c r="E155">
        <v>4637.26</v>
      </c>
      <c r="F155" s="1">
        <v>44991</v>
      </c>
    </row>
    <row r="156" spans="1:6" x14ac:dyDescent="0.25">
      <c r="A156" t="s">
        <v>612</v>
      </c>
      <c r="B156" t="s">
        <v>399</v>
      </c>
      <c r="C156" t="s">
        <v>464</v>
      </c>
      <c r="D156" t="s">
        <v>457</v>
      </c>
      <c r="E156">
        <v>2736.34</v>
      </c>
      <c r="F156" s="1">
        <v>44929</v>
      </c>
    </row>
    <row r="157" spans="1:6" x14ac:dyDescent="0.25">
      <c r="A157" t="s">
        <v>613</v>
      </c>
      <c r="B157" t="s">
        <v>400</v>
      </c>
      <c r="C157" t="s">
        <v>451</v>
      </c>
      <c r="D157" t="s">
        <v>452</v>
      </c>
      <c r="E157">
        <v>4964.71</v>
      </c>
      <c r="F157" s="1">
        <v>45252</v>
      </c>
    </row>
    <row r="158" spans="1:6" x14ac:dyDescent="0.25">
      <c r="A158" t="s">
        <v>614</v>
      </c>
      <c r="B158" t="s">
        <v>401</v>
      </c>
      <c r="C158" t="s">
        <v>464</v>
      </c>
      <c r="D158" t="s">
        <v>457</v>
      </c>
      <c r="E158">
        <v>4331.41</v>
      </c>
      <c r="F158" s="1">
        <v>45058</v>
      </c>
    </row>
    <row r="159" spans="1:6" x14ac:dyDescent="0.25">
      <c r="A159" t="s">
        <v>615</v>
      </c>
      <c r="B159" t="s">
        <v>402</v>
      </c>
      <c r="C159" t="s">
        <v>451</v>
      </c>
      <c r="D159" t="s">
        <v>455</v>
      </c>
      <c r="E159">
        <v>1438.3</v>
      </c>
      <c r="F159" s="1">
        <v>45119</v>
      </c>
    </row>
    <row r="160" spans="1:6" x14ac:dyDescent="0.25">
      <c r="A160" t="s">
        <v>616</v>
      </c>
      <c r="B160" t="s">
        <v>403</v>
      </c>
      <c r="C160" t="s">
        <v>451</v>
      </c>
      <c r="D160" t="s">
        <v>455</v>
      </c>
      <c r="E160">
        <v>4687.68</v>
      </c>
      <c r="F160" s="1">
        <v>45024</v>
      </c>
    </row>
    <row r="161" spans="1:6" x14ac:dyDescent="0.25">
      <c r="A161" t="s">
        <v>617</v>
      </c>
      <c r="B161" t="s">
        <v>404</v>
      </c>
      <c r="C161" t="s">
        <v>451</v>
      </c>
      <c r="D161" t="s">
        <v>452</v>
      </c>
      <c r="E161">
        <v>1023.65</v>
      </c>
      <c r="F161" s="1">
        <v>45277</v>
      </c>
    </row>
    <row r="162" spans="1:6" x14ac:dyDescent="0.25">
      <c r="A162" t="s">
        <v>618</v>
      </c>
      <c r="B162" t="s">
        <v>405</v>
      </c>
      <c r="C162" t="s">
        <v>451</v>
      </c>
      <c r="D162" t="s">
        <v>457</v>
      </c>
      <c r="E162">
        <v>4178.5200000000004</v>
      </c>
      <c r="F162" s="1">
        <v>45094</v>
      </c>
    </row>
    <row r="163" spans="1:6" x14ac:dyDescent="0.25">
      <c r="A163" t="s">
        <v>619</v>
      </c>
      <c r="B163" t="s">
        <v>406</v>
      </c>
      <c r="C163" t="s">
        <v>451</v>
      </c>
      <c r="D163" t="s">
        <v>457</v>
      </c>
      <c r="E163">
        <v>2212.8000000000002</v>
      </c>
      <c r="F163" s="1">
        <v>44927</v>
      </c>
    </row>
    <row r="164" spans="1:6" x14ac:dyDescent="0.25">
      <c r="A164" t="s">
        <v>620</v>
      </c>
      <c r="B164" t="s">
        <v>407</v>
      </c>
      <c r="C164" t="s">
        <v>476</v>
      </c>
      <c r="D164" t="s">
        <v>452</v>
      </c>
      <c r="E164">
        <v>4450.88</v>
      </c>
      <c r="F164" s="1">
        <v>45104</v>
      </c>
    </row>
    <row r="165" spans="1:6" x14ac:dyDescent="0.25">
      <c r="A165" t="s">
        <v>621</v>
      </c>
      <c r="B165" t="s">
        <v>408</v>
      </c>
      <c r="C165" t="s">
        <v>460</v>
      </c>
      <c r="D165" t="s">
        <v>457</v>
      </c>
      <c r="E165">
        <v>4406.26</v>
      </c>
      <c r="F165" s="1">
        <v>45135</v>
      </c>
    </row>
    <row r="166" spans="1:6" x14ac:dyDescent="0.25">
      <c r="A166" t="s">
        <v>622</v>
      </c>
      <c r="B166" t="s">
        <v>409</v>
      </c>
      <c r="C166" t="s">
        <v>454</v>
      </c>
      <c r="D166" t="s">
        <v>455</v>
      </c>
      <c r="E166">
        <v>4126.66</v>
      </c>
      <c r="F166" s="1">
        <v>45020</v>
      </c>
    </row>
    <row r="167" spans="1:6" x14ac:dyDescent="0.25">
      <c r="A167" t="s">
        <v>623</v>
      </c>
      <c r="B167" t="s">
        <v>410</v>
      </c>
      <c r="C167" t="s">
        <v>460</v>
      </c>
      <c r="D167" t="s">
        <v>452</v>
      </c>
      <c r="E167">
        <v>4055.14</v>
      </c>
      <c r="F167" s="1">
        <v>44938</v>
      </c>
    </row>
    <row r="168" spans="1:6" x14ac:dyDescent="0.25">
      <c r="A168" t="s">
        <v>624</v>
      </c>
      <c r="B168" t="s">
        <v>411</v>
      </c>
      <c r="C168" t="s">
        <v>451</v>
      </c>
      <c r="D168" t="s">
        <v>452</v>
      </c>
      <c r="E168">
        <v>1871.06</v>
      </c>
      <c r="F168" s="1">
        <v>45245</v>
      </c>
    </row>
    <row r="169" spans="1:6" x14ac:dyDescent="0.25">
      <c r="A169" t="s">
        <v>625</v>
      </c>
      <c r="B169" t="s">
        <v>412</v>
      </c>
      <c r="C169" t="s">
        <v>476</v>
      </c>
      <c r="D169" t="s">
        <v>457</v>
      </c>
      <c r="E169">
        <v>864.14</v>
      </c>
      <c r="F169" s="1">
        <v>45198</v>
      </c>
    </row>
    <row r="170" spans="1:6" x14ac:dyDescent="0.25">
      <c r="A170" t="s">
        <v>626</v>
      </c>
      <c r="B170" t="s">
        <v>413</v>
      </c>
      <c r="C170" t="s">
        <v>464</v>
      </c>
      <c r="D170" t="s">
        <v>452</v>
      </c>
      <c r="E170">
        <v>2313.41</v>
      </c>
      <c r="F170" s="1">
        <v>45131</v>
      </c>
    </row>
    <row r="171" spans="1:6" x14ac:dyDescent="0.25">
      <c r="A171" t="s">
        <v>627</v>
      </c>
      <c r="B171" t="s">
        <v>414</v>
      </c>
      <c r="C171" t="s">
        <v>476</v>
      </c>
      <c r="D171" t="s">
        <v>457</v>
      </c>
      <c r="E171">
        <v>1280.8599999999999</v>
      </c>
      <c r="F171" s="1">
        <v>44988</v>
      </c>
    </row>
    <row r="172" spans="1:6" x14ac:dyDescent="0.25">
      <c r="A172" t="s">
        <v>628</v>
      </c>
      <c r="B172" t="s">
        <v>415</v>
      </c>
      <c r="C172" t="s">
        <v>451</v>
      </c>
      <c r="D172" t="s">
        <v>457</v>
      </c>
      <c r="E172">
        <v>3627.28</v>
      </c>
      <c r="F172" s="1">
        <v>45034</v>
      </c>
    </row>
    <row r="173" spans="1:6" x14ac:dyDescent="0.25">
      <c r="A173" t="s">
        <v>629</v>
      </c>
      <c r="B173" t="s">
        <v>416</v>
      </c>
      <c r="C173" t="s">
        <v>476</v>
      </c>
      <c r="D173" t="s">
        <v>457</v>
      </c>
      <c r="E173">
        <v>2057.4499999999998</v>
      </c>
      <c r="F173" s="1">
        <v>44994</v>
      </c>
    </row>
    <row r="174" spans="1:6" x14ac:dyDescent="0.25">
      <c r="A174" t="s">
        <v>630</v>
      </c>
      <c r="B174" t="s">
        <v>417</v>
      </c>
      <c r="C174" t="s">
        <v>476</v>
      </c>
      <c r="D174" t="s">
        <v>457</v>
      </c>
      <c r="E174">
        <v>4890.25</v>
      </c>
      <c r="F174" s="1">
        <v>45081</v>
      </c>
    </row>
    <row r="175" spans="1:6" x14ac:dyDescent="0.25">
      <c r="A175" t="s">
        <v>631</v>
      </c>
      <c r="B175" t="s">
        <v>418</v>
      </c>
      <c r="C175" t="s">
        <v>451</v>
      </c>
      <c r="D175" t="s">
        <v>457</v>
      </c>
      <c r="E175">
        <v>3384.37</v>
      </c>
      <c r="F175" s="1">
        <v>45230</v>
      </c>
    </row>
    <row r="176" spans="1:6" x14ac:dyDescent="0.25">
      <c r="A176" t="s">
        <v>632</v>
      </c>
      <c r="B176" t="s">
        <v>419</v>
      </c>
      <c r="C176" t="s">
        <v>476</v>
      </c>
      <c r="D176" t="s">
        <v>452</v>
      </c>
      <c r="E176">
        <v>4201.16</v>
      </c>
      <c r="F176" s="1">
        <v>45221</v>
      </c>
    </row>
    <row r="177" spans="1:6" x14ac:dyDescent="0.25">
      <c r="A177" t="s">
        <v>633</v>
      </c>
      <c r="B177" t="s">
        <v>420</v>
      </c>
      <c r="C177" t="s">
        <v>454</v>
      </c>
      <c r="D177" t="s">
        <v>455</v>
      </c>
      <c r="E177">
        <v>1096.3599999999999</v>
      </c>
      <c r="F177" s="1">
        <v>45042</v>
      </c>
    </row>
    <row r="178" spans="1:6" x14ac:dyDescent="0.25">
      <c r="A178" t="s">
        <v>634</v>
      </c>
      <c r="B178" t="s">
        <v>421</v>
      </c>
      <c r="C178" t="s">
        <v>454</v>
      </c>
      <c r="D178" t="s">
        <v>455</v>
      </c>
      <c r="E178">
        <v>4379.07</v>
      </c>
      <c r="F178" s="1">
        <v>45154</v>
      </c>
    </row>
    <row r="179" spans="1:6" x14ac:dyDescent="0.25">
      <c r="A179" t="s">
        <v>635</v>
      </c>
      <c r="B179" t="s">
        <v>422</v>
      </c>
      <c r="C179" t="s">
        <v>476</v>
      </c>
      <c r="D179" t="s">
        <v>452</v>
      </c>
      <c r="E179">
        <v>4652.41</v>
      </c>
      <c r="F179" s="1">
        <v>44943</v>
      </c>
    </row>
    <row r="180" spans="1:6" x14ac:dyDescent="0.25">
      <c r="A180" t="s">
        <v>636</v>
      </c>
      <c r="B180" t="s">
        <v>423</v>
      </c>
      <c r="C180" t="s">
        <v>464</v>
      </c>
      <c r="D180" t="s">
        <v>452</v>
      </c>
      <c r="E180">
        <v>2691.78</v>
      </c>
      <c r="F180" s="1">
        <v>44993</v>
      </c>
    </row>
    <row r="181" spans="1:6" x14ac:dyDescent="0.25">
      <c r="A181" t="s">
        <v>637</v>
      </c>
      <c r="B181" t="s">
        <v>424</v>
      </c>
      <c r="C181" t="s">
        <v>451</v>
      </c>
      <c r="D181" t="s">
        <v>455</v>
      </c>
      <c r="E181">
        <v>3228.14</v>
      </c>
      <c r="F181" s="1">
        <v>44933</v>
      </c>
    </row>
    <row r="182" spans="1:6" x14ac:dyDescent="0.25">
      <c r="A182" t="s">
        <v>638</v>
      </c>
      <c r="B182" t="s">
        <v>425</v>
      </c>
      <c r="C182" t="s">
        <v>454</v>
      </c>
      <c r="D182" t="s">
        <v>455</v>
      </c>
      <c r="E182">
        <v>3941.64</v>
      </c>
      <c r="F182" s="1">
        <v>45172</v>
      </c>
    </row>
    <row r="183" spans="1:6" x14ac:dyDescent="0.25">
      <c r="A183" t="s">
        <v>639</v>
      </c>
      <c r="B183" t="s">
        <v>426</v>
      </c>
      <c r="C183" t="s">
        <v>464</v>
      </c>
      <c r="D183" t="s">
        <v>455</v>
      </c>
      <c r="E183">
        <v>1286.77</v>
      </c>
      <c r="F183" s="1">
        <v>45028</v>
      </c>
    </row>
    <row r="184" spans="1:6" x14ac:dyDescent="0.25">
      <c r="A184" t="s">
        <v>640</v>
      </c>
      <c r="B184" t="s">
        <v>427</v>
      </c>
      <c r="C184" t="s">
        <v>476</v>
      </c>
      <c r="D184" t="s">
        <v>455</v>
      </c>
      <c r="E184">
        <v>2761.55</v>
      </c>
      <c r="F184" s="1">
        <v>44960</v>
      </c>
    </row>
    <row r="185" spans="1:6" x14ac:dyDescent="0.25">
      <c r="A185" t="s">
        <v>641</v>
      </c>
      <c r="B185" t="s">
        <v>428</v>
      </c>
      <c r="C185" t="s">
        <v>464</v>
      </c>
      <c r="D185" t="s">
        <v>455</v>
      </c>
      <c r="E185">
        <v>2293.98</v>
      </c>
      <c r="F185" s="1">
        <v>44983</v>
      </c>
    </row>
    <row r="186" spans="1:6" x14ac:dyDescent="0.25">
      <c r="A186" t="s">
        <v>642</v>
      </c>
      <c r="B186" t="s">
        <v>429</v>
      </c>
      <c r="C186" t="s">
        <v>460</v>
      </c>
      <c r="D186" t="s">
        <v>457</v>
      </c>
      <c r="E186">
        <v>1158.68</v>
      </c>
      <c r="F186" s="1">
        <v>45006</v>
      </c>
    </row>
    <row r="187" spans="1:6" x14ac:dyDescent="0.25">
      <c r="A187" t="s">
        <v>643</v>
      </c>
      <c r="B187" t="s">
        <v>430</v>
      </c>
      <c r="C187" t="s">
        <v>454</v>
      </c>
      <c r="D187" t="s">
        <v>452</v>
      </c>
      <c r="E187">
        <v>2153.9</v>
      </c>
      <c r="F187" s="1">
        <v>45012</v>
      </c>
    </row>
    <row r="188" spans="1:6" x14ac:dyDescent="0.25">
      <c r="A188" t="s">
        <v>644</v>
      </c>
      <c r="B188" t="s">
        <v>431</v>
      </c>
      <c r="C188" t="s">
        <v>476</v>
      </c>
      <c r="D188" t="s">
        <v>457</v>
      </c>
      <c r="E188">
        <v>806.78</v>
      </c>
      <c r="F188" s="1">
        <v>44970</v>
      </c>
    </row>
    <row r="189" spans="1:6" x14ac:dyDescent="0.25">
      <c r="A189" t="s">
        <v>645</v>
      </c>
      <c r="B189" t="s">
        <v>432</v>
      </c>
      <c r="C189" t="s">
        <v>451</v>
      </c>
      <c r="D189" t="s">
        <v>455</v>
      </c>
      <c r="E189">
        <v>616.15</v>
      </c>
      <c r="F189" s="1">
        <v>45028</v>
      </c>
    </row>
    <row r="190" spans="1:6" x14ac:dyDescent="0.25">
      <c r="A190" t="s">
        <v>646</v>
      </c>
      <c r="B190" t="s">
        <v>433</v>
      </c>
      <c r="C190" t="s">
        <v>476</v>
      </c>
      <c r="D190" t="s">
        <v>455</v>
      </c>
      <c r="E190">
        <v>1108.25</v>
      </c>
      <c r="F190" s="1">
        <v>45204</v>
      </c>
    </row>
    <row r="191" spans="1:6" x14ac:dyDescent="0.25">
      <c r="A191" t="s">
        <v>647</v>
      </c>
      <c r="B191" t="s">
        <v>434</v>
      </c>
      <c r="C191" t="s">
        <v>451</v>
      </c>
      <c r="D191" t="s">
        <v>455</v>
      </c>
      <c r="E191">
        <v>4834.0200000000004</v>
      </c>
      <c r="F191" s="1">
        <v>45246</v>
      </c>
    </row>
    <row r="192" spans="1:6" x14ac:dyDescent="0.25">
      <c r="A192" t="s">
        <v>648</v>
      </c>
      <c r="B192" t="s">
        <v>435</v>
      </c>
      <c r="C192" t="s">
        <v>476</v>
      </c>
      <c r="D192" t="s">
        <v>457</v>
      </c>
      <c r="E192">
        <v>2972.88</v>
      </c>
      <c r="F192" s="1">
        <v>45028</v>
      </c>
    </row>
    <row r="193" spans="1:6" x14ac:dyDescent="0.25">
      <c r="A193" t="s">
        <v>649</v>
      </c>
      <c r="B193" t="s">
        <v>436</v>
      </c>
      <c r="C193" t="s">
        <v>464</v>
      </c>
      <c r="D193" t="s">
        <v>457</v>
      </c>
      <c r="E193">
        <v>4846.2</v>
      </c>
      <c r="F193" s="1">
        <v>45169</v>
      </c>
    </row>
    <row r="194" spans="1:6" x14ac:dyDescent="0.25">
      <c r="A194" t="s">
        <v>650</v>
      </c>
      <c r="B194" t="s">
        <v>437</v>
      </c>
      <c r="C194" t="s">
        <v>464</v>
      </c>
      <c r="D194" t="s">
        <v>455</v>
      </c>
      <c r="E194">
        <v>2446.2399999999998</v>
      </c>
      <c r="F194" s="1">
        <v>45184</v>
      </c>
    </row>
    <row r="195" spans="1:6" x14ac:dyDescent="0.25">
      <c r="A195" t="s">
        <v>651</v>
      </c>
      <c r="B195" t="s">
        <v>438</v>
      </c>
      <c r="C195" t="s">
        <v>464</v>
      </c>
      <c r="D195" t="s">
        <v>457</v>
      </c>
      <c r="E195">
        <v>1903.17</v>
      </c>
      <c r="F195" s="1">
        <v>45022</v>
      </c>
    </row>
    <row r="196" spans="1:6" x14ac:dyDescent="0.25">
      <c r="A196" t="s">
        <v>652</v>
      </c>
      <c r="B196" t="s">
        <v>439</v>
      </c>
      <c r="C196" t="s">
        <v>460</v>
      </c>
      <c r="D196" t="s">
        <v>457</v>
      </c>
      <c r="E196">
        <v>2777.64</v>
      </c>
      <c r="F196" s="1">
        <v>45157</v>
      </c>
    </row>
    <row r="197" spans="1:6" x14ac:dyDescent="0.25">
      <c r="A197" t="s">
        <v>653</v>
      </c>
      <c r="B197" t="s">
        <v>440</v>
      </c>
      <c r="C197" t="s">
        <v>451</v>
      </c>
      <c r="D197" t="s">
        <v>455</v>
      </c>
      <c r="E197">
        <v>2477.8000000000002</v>
      </c>
      <c r="F197" s="1">
        <v>45225</v>
      </c>
    </row>
    <row r="198" spans="1:6" x14ac:dyDescent="0.25">
      <c r="A198" t="s">
        <v>654</v>
      </c>
      <c r="B198" t="s">
        <v>441</v>
      </c>
      <c r="C198" t="s">
        <v>464</v>
      </c>
      <c r="D198" t="s">
        <v>457</v>
      </c>
      <c r="E198">
        <v>975.49</v>
      </c>
      <c r="F198" s="1">
        <v>45017</v>
      </c>
    </row>
    <row r="199" spans="1:6" x14ac:dyDescent="0.25">
      <c r="A199" t="s">
        <v>655</v>
      </c>
      <c r="B199" t="s">
        <v>442</v>
      </c>
      <c r="C199" t="s">
        <v>460</v>
      </c>
      <c r="D199" t="s">
        <v>452</v>
      </c>
      <c r="E199">
        <v>3383.72</v>
      </c>
      <c r="F199" s="1">
        <v>45061</v>
      </c>
    </row>
    <row r="200" spans="1:6" x14ac:dyDescent="0.25">
      <c r="A200" t="s">
        <v>656</v>
      </c>
      <c r="B200" t="s">
        <v>443</v>
      </c>
      <c r="C200" t="s">
        <v>451</v>
      </c>
      <c r="D200" t="s">
        <v>452</v>
      </c>
      <c r="E200">
        <v>1472.17</v>
      </c>
      <c r="F200" s="1">
        <v>45047</v>
      </c>
    </row>
    <row r="201" spans="1:6" x14ac:dyDescent="0.25">
      <c r="A201" t="s">
        <v>657</v>
      </c>
      <c r="B201" t="s">
        <v>444</v>
      </c>
      <c r="C201" t="s">
        <v>476</v>
      </c>
      <c r="D201" t="s">
        <v>452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B972-9126-4B7F-9E97-984F550C9196}">
  <dimension ref="A1:I201"/>
  <sheetViews>
    <sheetView topLeftCell="A2" workbookViewId="0">
      <selection activeCell="B8" sqref="B8"/>
    </sheetView>
  </sheetViews>
  <sheetFormatPr defaultRowHeight="15" x14ac:dyDescent="0.25"/>
  <cols>
    <col min="1" max="1" width="18" bestFit="1" customWidth="1"/>
    <col min="2" max="2" width="12.5703125" bestFit="1" customWidth="1"/>
    <col min="3" max="3" width="12.28515625" bestFit="1" customWidth="1"/>
    <col min="4" max="4" width="20.42578125" bestFit="1" customWidth="1"/>
    <col min="5" max="5" width="20.5703125" bestFit="1" customWidth="1"/>
    <col min="6" max="6" width="18.7109375" bestFit="1" customWidth="1"/>
    <col min="7" max="7" width="10.42578125" bestFit="1" customWidth="1"/>
    <col min="8" max="8" width="20.140625" bestFit="1" customWidth="1"/>
    <col min="9" max="9" width="21.85546875" bestFit="1" customWidth="1"/>
  </cols>
  <sheetData>
    <row r="1" spans="1:9" x14ac:dyDescent="0.25">
      <c r="A1" t="s">
        <v>217</v>
      </c>
      <c r="B1" t="s">
        <v>0</v>
      </c>
      <c r="C1" t="s">
        <v>186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</row>
    <row r="2" spans="1:9" x14ac:dyDescent="0.25">
      <c r="A2" t="s">
        <v>224</v>
      </c>
      <c r="B2" t="s">
        <v>142</v>
      </c>
      <c r="C2" t="s">
        <v>213</v>
      </c>
      <c r="D2" s="1">
        <v>45147</v>
      </c>
      <c r="E2" s="2">
        <v>0.63541666666666663</v>
      </c>
      <c r="F2" t="s">
        <v>225</v>
      </c>
      <c r="G2" t="s">
        <v>226</v>
      </c>
      <c r="H2">
        <v>2023</v>
      </c>
      <c r="I2" t="s">
        <v>227</v>
      </c>
    </row>
    <row r="3" spans="1:9" x14ac:dyDescent="0.25">
      <c r="A3" t="s">
        <v>228</v>
      </c>
      <c r="B3" t="s">
        <v>138</v>
      </c>
      <c r="C3" t="s">
        <v>201</v>
      </c>
      <c r="D3" s="1">
        <v>45086</v>
      </c>
      <c r="E3" s="2">
        <v>0.60416666666666663</v>
      </c>
      <c r="F3" t="s">
        <v>225</v>
      </c>
      <c r="G3" t="s">
        <v>229</v>
      </c>
      <c r="H3">
        <v>2023</v>
      </c>
      <c r="I3" t="s">
        <v>230</v>
      </c>
    </row>
    <row r="4" spans="1:9" x14ac:dyDescent="0.25">
      <c r="A4" t="s">
        <v>231</v>
      </c>
      <c r="B4" t="s">
        <v>178</v>
      </c>
      <c r="C4" t="s">
        <v>201</v>
      </c>
      <c r="D4" s="1">
        <v>45105</v>
      </c>
      <c r="E4" s="2">
        <v>0.33333333333333331</v>
      </c>
      <c r="F4" t="s">
        <v>232</v>
      </c>
      <c r="G4" t="s">
        <v>233</v>
      </c>
      <c r="H4">
        <v>2023</v>
      </c>
      <c r="I4" t="s">
        <v>230</v>
      </c>
    </row>
    <row r="5" spans="1:9" x14ac:dyDescent="0.25">
      <c r="A5" t="s">
        <v>234</v>
      </c>
      <c r="B5" t="s">
        <v>116</v>
      </c>
      <c r="C5" t="s">
        <v>206</v>
      </c>
      <c r="D5" s="1">
        <v>45170</v>
      </c>
      <c r="E5" s="2">
        <v>0.38541666666666669</v>
      </c>
      <c r="F5" t="s">
        <v>232</v>
      </c>
      <c r="G5" t="s">
        <v>233</v>
      </c>
      <c r="H5">
        <v>2023</v>
      </c>
      <c r="I5" t="s">
        <v>235</v>
      </c>
    </row>
    <row r="6" spans="1:9" x14ac:dyDescent="0.25">
      <c r="A6" t="s">
        <v>236</v>
      </c>
      <c r="B6" t="s">
        <v>157</v>
      </c>
      <c r="C6" t="s">
        <v>199</v>
      </c>
      <c r="D6" s="1">
        <v>45113</v>
      </c>
      <c r="E6" s="2">
        <v>0.53125</v>
      </c>
      <c r="F6" t="s">
        <v>237</v>
      </c>
      <c r="G6" t="s">
        <v>229</v>
      </c>
      <c r="H6">
        <v>2023</v>
      </c>
      <c r="I6" t="s">
        <v>238</v>
      </c>
    </row>
    <row r="7" spans="1:9" x14ac:dyDescent="0.25">
      <c r="A7" t="s">
        <v>239</v>
      </c>
      <c r="B7" t="s">
        <v>171</v>
      </c>
      <c r="C7" t="s">
        <v>206</v>
      </c>
      <c r="D7" s="1">
        <v>45096</v>
      </c>
      <c r="E7" s="2">
        <v>0.67708333333333337</v>
      </c>
      <c r="F7" t="s">
        <v>240</v>
      </c>
      <c r="G7" t="s">
        <v>226</v>
      </c>
      <c r="H7">
        <v>2023</v>
      </c>
      <c r="I7" t="s">
        <v>230</v>
      </c>
    </row>
    <row r="8" spans="1:9" x14ac:dyDescent="0.25">
      <c r="A8" t="s">
        <v>241</v>
      </c>
      <c r="B8" t="s">
        <v>13</v>
      </c>
      <c r="C8" t="s">
        <v>208</v>
      </c>
      <c r="D8" s="1">
        <v>45025</v>
      </c>
      <c r="E8" s="2">
        <v>0.4375</v>
      </c>
      <c r="F8" t="s">
        <v>232</v>
      </c>
      <c r="G8" t="s">
        <v>226</v>
      </c>
      <c r="H8">
        <v>2023</v>
      </c>
      <c r="I8" t="s">
        <v>242</v>
      </c>
    </row>
    <row r="9" spans="1:9" x14ac:dyDescent="0.25">
      <c r="A9" t="s">
        <v>243</v>
      </c>
      <c r="B9" t="s">
        <v>85</v>
      </c>
      <c r="C9" t="s">
        <v>215</v>
      </c>
      <c r="D9" s="1">
        <v>45070</v>
      </c>
      <c r="E9" s="2">
        <v>0.36458333333333331</v>
      </c>
      <c r="F9" t="s">
        <v>232</v>
      </c>
      <c r="G9" t="s">
        <v>233</v>
      </c>
      <c r="H9">
        <v>2023</v>
      </c>
      <c r="I9" t="s">
        <v>244</v>
      </c>
    </row>
    <row r="10" spans="1:9" x14ac:dyDescent="0.25">
      <c r="A10" t="s">
        <v>245</v>
      </c>
      <c r="B10" t="s">
        <v>154</v>
      </c>
      <c r="C10" t="s">
        <v>215</v>
      </c>
      <c r="D10" s="1">
        <v>44990</v>
      </c>
      <c r="E10" s="2">
        <v>0.57291666666666663</v>
      </c>
      <c r="F10" t="s">
        <v>246</v>
      </c>
      <c r="G10" t="s">
        <v>226</v>
      </c>
      <c r="H10">
        <v>2023</v>
      </c>
      <c r="I10" t="s">
        <v>247</v>
      </c>
    </row>
    <row r="11" spans="1:9" x14ac:dyDescent="0.25">
      <c r="A11" t="s">
        <v>248</v>
      </c>
      <c r="B11" t="s">
        <v>43</v>
      </c>
      <c r="C11" t="s">
        <v>199</v>
      </c>
      <c r="D11" s="1">
        <v>44939</v>
      </c>
      <c r="E11" s="2">
        <v>0.64583333333333337</v>
      </c>
      <c r="F11" t="s">
        <v>225</v>
      </c>
      <c r="G11" t="s">
        <v>249</v>
      </c>
      <c r="H11">
        <v>2023</v>
      </c>
      <c r="I11" t="s">
        <v>250</v>
      </c>
    </row>
    <row r="12" spans="1:9" x14ac:dyDescent="0.25">
      <c r="A12" t="s">
        <v>251</v>
      </c>
      <c r="B12" t="s">
        <v>105</v>
      </c>
      <c r="C12" t="s">
        <v>208</v>
      </c>
      <c r="D12" s="1">
        <v>45242</v>
      </c>
      <c r="E12" s="2">
        <v>0.66666666666666663</v>
      </c>
      <c r="F12" t="s">
        <v>240</v>
      </c>
      <c r="G12" t="s">
        <v>229</v>
      </c>
      <c r="H12">
        <v>2023</v>
      </c>
      <c r="I12" t="s">
        <v>252</v>
      </c>
    </row>
    <row r="13" spans="1:9" x14ac:dyDescent="0.25">
      <c r="A13" t="s">
        <v>253</v>
      </c>
      <c r="B13" t="s">
        <v>129</v>
      </c>
      <c r="C13" t="s">
        <v>199</v>
      </c>
      <c r="D13" s="1">
        <v>45053</v>
      </c>
      <c r="E13" s="2">
        <v>0.41666666666666669</v>
      </c>
      <c r="F13" t="s">
        <v>246</v>
      </c>
      <c r="G13" t="s">
        <v>249</v>
      </c>
      <c r="H13">
        <v>2023</v>
      </c>
      <c r="I13" t="s">
        <v>244</v>
      </c>
    </row>
    <row r="14" spans="1:9" x14ac:dyDescent="0.25">
      <c r="A14" t="s">
        <v>254</v>
      </c>
      <c r="B14" t="s">
        <v>30</v>
      </c>
      <c r="C14" t="s">
        <v>195</v>
      </c>
      <c r="D14" s="1">
        <v>45154</v>
      </c>
      <c r="E14" s="2">
        <v>0.5</v>
      </c>
      <c r="F14" t="s">
        <v>237</v>
      </c>
      <c r="G14" t="s">
        <v>226</v>
      </c>
      <c r="H14">
        <v>2023</v>
      </c>
      <c r="I14" t="s">
        <v>227</v>
      </c>
    </row>
    <row r="15" spans="1:9" x14ac:dyDescent="0.25">
      <c r="A15" t="s">
        <v>255</v>
      </c>
      <c r="B15" t="s">
        <v>73</v>
      </c>
      <c r="C15" t="s">
        <v>215</v>
      </c>
      <c r="D15" s="1">
        <v>45071</v>
      </c>
      <c r="E15" s="2">
        <v>0.4375</v>
      </c>
      <c r="F15" t="s">
        <v>237</v>
      </c>
      <c r="G15" t="s">
        <v>233</v>
      </c>
      <c r="H15">
        <v>2023</v>
      </c>
      <c r="I15" t="s">
        <v>244</v>
      </c>
    </row>
    <row r="16" spans="1:9" x14ac:dyDescent="0.25">
      <c r="A16" t="s">
        <v>256</v>
      </c>
      <c r="B16" t="s">
        <v>120</v>
      </c>
      <c r="C16" t="s">
        <v>201</v>
      </c>
      <c r="D16" s="1">
        <v>44941</v>
      </c>
      <c r="E16" s="2">
        <v>0.71875</v>
      </c>
      <c r="F16" t="s">
        <v>232</v>
      </c>
      <c r="G16" t="s">
        <v>229</v>
      </c>
      <c r="H16">
        <v>2023</v>
      </c>
      <c r="I16" t="s">
        <v>250</v>
      </c>
    </row>
    <row r="17" spans="1:9" x14ac:dyDescent="0.25">
      <c r="A17" t="s">
        <v>257</v>
      </c>
      <c r="B17" t="s">
        <v>85</v>
      </c>
      <c r="C17" t="s">
        <v>211</v>
      </c>
      <c r="D17" s="1">
        <v>45107</v>
      </c>
      <c r="E17" s="2">
        <v>0.45833333333333331</v>
      </c>
      <c r="F17" t="s">
        <v>232</v>
      </c>
      <c r="G17" t="s">
        <v>226</v>
      </c>
      <c r="H17">
        <v>2023</v>
      </c>
      <c r="I17" t="s">
        <v>230</v>
      </c>
    </row>
    <row r="18" spans="1:9" x14ac:dyDescent="0.25">
      <c r="A18" t="s">
        <v>258</v>
      </c>
      <c r="B18" t="s">
        <v>149</v>
      </c>
      <c r="C18" t="s">
        <v>213</v>
      </c>
      <c r="D18" s="1">
        <v>45118</v>
      </c>
      <c r="E18" s="2">
        <v>0.70833333333333337</v>
      </c>
      <c r="F18" t="s">
        <v>237</v>
      </c>
      <c r="G18" t="s">
        <v>226</v>
      </c>
      <c r="H18">
        <v>2023</v>
      </c>
      <c r="I18" t="s">
        <v>238</v>
      </c>
    </row>
    <row r="19" spans="1:9" x14ac:dyDescent="0.25">
      <c r="A19" t="s">
        <v>259</v>
      </c>
      <c r="B19" t="s">
        <v>105</v>
      </c>
      <c r="C19" t="s">
        <v>208</v>
      </c>
      <c r="D19" s="1">
        <v>45244</v>
      </c>
      <c r="E19" s="2">
        <v>0.40625</v>
      </c>
      <c r="F19" t="s">
        <v>232</v>
      </c>
      <c r="G19" t="s">
        <v>233</v>
      </c>
      <c r="H19">
        <v>2023</v>
      </c>
      <c r="I19" t="s">
        <v>252</v>
      </c>
    </row>
    <row r="20" spans="1:9" x14ac:dyDescent="0.25">
      <c r="A20" t="s">
        <v>260</v>
      </c>
      <c r="B20" t="s">
        <v>129</v>
      </c>
      <c r="C20" t="s">
        <v>191</v>
      </c>
      <c r="D20" s="1">
        <v>44963</v>
      </c>
      <c r="E20" s="2">
        <v>0.64583333333333337</v>
      </c>
      <c r="F20" t="s">
        <v>240</v>
      </c>
      <c r="G20" t="s">
        <v>233</v>
      </c>
      <c r="H20">
        <v>2023</v>
      </c>
      <c r="I20" t="s">
        <v>261</v>
      </c>
    </row>
    <row r="21" spans="1:9" x14ac:dyDescent="0.25">
      <c r="A21" t="s">
        <v>262</v>
      </c>
      <c r="B21" t="s">
        <v>78</v>
      </c>
      <c r="C21" t="s">
        <v>199</v>
      </c>
      <c r="D21" s="1">
        <v>45265</v>
      </c>
      <c r="E21" s="2">
        <v>0.63541666666666663</v>
      </c>
      <c r="F21" t="s">
        <v>232</v>
      </c>
      <c r="G21" t="s">
        <v>249</v>
      </c>
      <c r="H21">
        <v>2023</v>
      </c>
      <c r="I21" t="s">
        <v>263</v>
      </c>
    </row>
    <row r="22" spans="1:9" x14ac:dyDescent="0.25">
      <c r="A22" t="s">
        <v>264</v>
      </c>
      <c r="B22" t="s">
        <v>126</v>
      </c>
      <c r="C22" t="s">
        <v>213</v>
      </c>
      <c r="D22" s="1">
        <v>45040</v>
      </c>
      <c r="E22" s="2">
        <v>0.41666666666666669</v>
      </c>
      <c r="F22" t="s">
        <v>225</v>
      </c>
      <c r="G22" t="s">
        <v>229</v>
      </c>
      <c r="H22">
        <v>2023</v>
      </c>
      <c r="I22" t="s">
        <v>242</v>
      </c>
    </row>
    <row r="23" spans="1:9" x14ac:dyDescent="0.25">
      <c r="A23" t="s">
        <v>265</v>
      </c>
      <c r="B23" t="s">
        <v>43</v>
      </c>
      <c r="C23" t="s">
        <v>191</v>
      </c>
      <c r="D23" s="1">
        <v>45244</v>
      </c>
      <c r="E23" s="2">
        <v>0.54166666666666663</v>
      </c>
      <c r="F23" t="s">
        <v>232</v>
      </c>
      <c r="G23" t="s">
        <v>229</v>
      </c>
      <c r="H23">
        <v>2023</v>
      </c>
      <c r="I23" t="s">
        <v>252</v>
      </c>
    </row>
    <row r="24" spans="1:9" x14ac:dyDescent="0.25">
      <c r="A24" t="s">
        <v>266</v>
      </c>
      <c r="B24" t="s">
        <v>176</v>
      </c>
      <c r="C24" t="s">
        <v>213</v>
      </c>
      <c r="D24" s="1">
        <v>45055</v>
      </c>
      <c r="E24" s="2">
        <v>0.60416666666666663</v>
      </c>
      <c r="F24" t="s">
        <v>246</v>
      </c>
      <c r="G24" t="s">
        <v>233</v>
      </c>
      <c r="H24">
        <v>2023</v>
      </c>
      <c r="I24" t="s">
        <v>244</v>
      </c>
    </row>
    <row r="25" spans="1:9" x14ac:dyDescent="0.25">
      <c r="A25" t="s">
        <v>267</v>
      </c>
      <c r="B25" t="s">
        <v>181</v>
      </c>
      <c r="C25" t="s">
        <v>211</v>
      </c>
      <c r="D25" s="1">
        <v>45098</v>
      </c>
      <c r="E25" s="2">
        <v>0.33333333333333331</v>
      </c>
      <c r="F25" t="s">
        <v>240</v>
      </c>
      <c r="G25" t="s">
        <v>249</v>
      </c>
      <c r="H25">
        <v>2023</v>
      </c>
      <c r="I25" t="s">
        <v>230</v>
      </c>
    </row>
    <row r="26" spans="1:9" x14ac:dyDescent="0.25">
      <c r="A26" t="s">
        <v>268</v>
      </c>
      <c r="B26" t="s">
        <v>132</v>
      </c>
      <c r="C26" t="s">
        <v>191</v>
      </c>
      <c r="D26" s="1">
        <v>44982</v>
      </c>
      <c r="E26" s="2">
        <v>0.33333333333333331</v>
      </c>
      <c r="F26" t="s">
        <v>246</v>
      </c>
      <c r="G26" t="s">
        <v>229</v>
      </c>
      <c r="H26">
        <v>2023</v>
      </c>
      <c r="I26" t="s">
        <v>261</v>
      </c>
    </row>
    <row r="27" spans="1:9" x14ac:dyDescent="0.25">
      <c r="A27" t="s">
        <v>269</v>
      </c>
      <c r="B27" t="s">
        <v>174</v>
      </c>
      <c r="C27" t="s">
        <v>206</v>
      </c>
      <c r="D27" s="1">
        <v>45002</v>
      </c>
      <c r="E27" s="2">
        <v>0.59375</v>
      </c>
      <c r="F27" t="s">
        <v>246</v>
      </c>
      <c r="G27" t="s">
        <v>233</v>
      </c>
      <c r="H27">
        <v>2023</v>
      </c>
      <c r="I27" t="s">
        <v>247</v>
      </c>
    </row>
    <row r="28" spans="1:9" x14ac:dyDescent="0.25">
      <c r="A28" t="s">
        <v>270</v>
      </c>
      <c r="B28" t="s">
        <v>43</v>
      </c>
      <c r="C28" t="s">
        <v>204</v>
      </c>
      <c r="D28" s="1">
        <v>45244</v>
      </c>
      <c r="E28" s="2">
        <v>0.53125</v>
      </c>
      <c r="F28" t="s">
        <v>225</v>
      </c>
      <c r="G28" t="s">
        <v>226</v>
      </c>
      <c r="H28">
        <v>2023</v>
      </c>
      <c r="I28" t="s">
        <v>252</v>
      </c>
    </row>
    <row r="29" spans="1:9" x14ac:dyDescent="0.25">
      <c r="A29" t="s">
        <v>271</v>
      </c>
      <c r="B29" t="s">
        <v>73</v>
      </c>
      <c r="C29" t="s">
        <v>206</v>
      </c>
      <c r="D29" s="1">
        <v>45228</v>
      </c>
      <c r="E29" s="2">
        <v>0.64583333333333337</v>
      </c>
      <c r="F29" t="s">
        <v>240</v>
      </c>
      <c r="G29" t="s">
        <v>229</v>
      </c>
      <c r="H29">
        <v>2023</v>
      </c>
      <c r="I29" t="s">
        <v>272</v>
      </c>
    </row>
    <row r="30" spans="1:9" x14ac:dyDescent="0.25">
      <c r="A30" t="s">
        <v>273</v>
      </c>
      <c r="B30" t="s">
        <v>85</v>
      </c>
      <c r="C30" t="s">
        <v>215</v>
      </c>
      <c r="D30" s="1">
        <v>45102</v>
      </c>
      <c r="E30" s="2">
        <v>0.60416666666666663</v>
      </c>
      <c r="F30" t="s">
        <v>240</v>
      </c>
      <c r="G30" t="s">
        <v>249</v>
      </c>
      <c r="H30">
        <v>2023</v>
      </c>
      <c r="I30" t="s">
        <v>230</v>
      </c>
    </row>
    <row r="31" spans="1:9" x14ac:dyDescent="0.25">
      <c r="A31" t="s">
        <v>274</v>
      </c>
      <c r="B31" t="s">
        <v>120</v>
      </c>
      <c r="C31" t="s">
        <v>204</v>
      </c>
      <c r="D31" s="1">
        <v>45167</v>
      </c>
      <c r="E31" s="2">
        <v>0.55208333333333337</v>
      </c>
      <c r="F31" t="s">
        <v>240</v>
      </c>
      <c r="G31" t="s">
        <v>249</v>
      </c>
      <c r="H31">
        <v>2023</v>
      </c>
      <c r="I31" t="s">
        <v>227</v>
      </c>
    </row>
    <row r="32" spans="1:9" x14ac:dyDescent="0.25">
      <c r="A32" t="s">
        <v>275</v>
      </c>
      <c r="B32" t="s">
        <v>120</v>
      </c>
      <c r="C32" t="s">
        <v>206</v>
      </c>
      <c r="D32" s="1">
        <v>45020</v>
      </c>
      <c r="E32" s="2">
        <v>0.4375</v>
      </c>
      <c r="F32" t="s">
        <v>240</v>
      </c>
      <c r="G32" t="s">
        <v>249</v>
      </c>
      <c r="H32">
        <v>2023</v>
      </c>
      <c r="I32" t="s">
        <v>242</v>
      </c>
    </row>
    <row r="33" spans="1:9" x14ac:dyDescent="0.25">
      <c r="A33" t="s">
        <v>276</v>
      </c>
      <c r="B33" t="s">
        <v>178</v>
      </c>
      <c r="C33" t="s">
        <v>204</v>
      </c>
      <c r="D33" s="1">
        <v>45236</v>
      </c>
      <c r="E33" s="2">
        <v>0.44791666666666669</v>
      </c>
      <c r="F33" t="s">
        <v>240</v>
      </c>
      <c r="G33" t="s">
        <v>226</v>
      </c>
      <c r="H33">
        <v>2023</v>
      </c>
      <c r="I33" t="s">
        <v>252</v>
      </c>
    </row>
    <row r="34" spans="1:9" x14ac:dyDescent="0.25">
      <c r="A34" t="s">
        <v>277</v>
      </c>
      <c r="B34" t="s">
        <v>102</v>
      </c>
      <c r="C34" t="s">
        <v>204</v>
      </c>
      <c r="D34" s="1">
        <v>45192</v>
      </c>
      <c r="E34" s="2">
        <v>0.73958333333333337</v>
      </c>
      <c r="F34" t="s">
        <v>225</v>
      </c>
      <c r="G34" t="s">
        <v>229</v>
      </c>
      <c r="H34">
        <v>2023</v>
      </c>
      <c r="I34" t="s">
        <v>235</v>
      </c>
    </row>
    <row r="35" spans="1:9" x14ac:dyDescent="0.25">
      <c r="A35" t="s">
        <v>278</v>
      </c>
      <c r="B35" t="s">
        <v>154</v>
      </c>
      <c r="C35" t="s">
        <v>201</v>
      </c>
      <c r="D35" s="1">
        <v>45090</v>
      </c>
      <c r="E35" s="2">
        <v>0.47916666666666669</v>
      </c>
      <c r="F35" t="s">
        <v>232</v>
      </c>
      <c r="G35" t="s">
        <v>229</v>
      </c>
      <c r="H35">
        <v>2023</v>
      </c>
      <c r="I35" t="s">
        <v>230</v>
      </c>
    </row>
    <row r="36" spans="1:9" x14ac:dyDescent="0.25">
      <c r="A36" t="s">
        <v>279</v>
      </c>
      <c r="B36" t="s">
        <v>147</v>
      </c>
      <c r="C36" t="s">
        <v>199</v>
      </c>
      <c r="D36" s="1">
        <v>45034</v>
      </c>
      <c r="E36" s="2">
        <v>0.36458333333333331</v>
      </c>
      <c r="F36" t="s">
        <v>246</v>
      </c>
      <c r="G36" t="s">
        <v>226</v>
      </c>
      <c r="H36">
        <v>2023</v>
      </c>
      <c r="I36" t="s">
        <v>242</v>
      </c>
    </row>
    <row r="37" spans="1:9" x14ac:dyDescent="0.25">
      <c r="A37" t="s">
        <v>280</v>
      </c>
      <c r="B37" t="s">
        <v>140</v>
      </c>
      <c r="C37" t="s">
        <v>199</v>
      </c>
      <c r="D37" s="1">
        <v>44934</v>
      </c>
      <c r="E37" s="2">
        <v>0.60416666666666663</v>
      </c>
      <c r="F37" t="s">
        <v>240</v>
      </c>
      <c r="G37" t="s">
        <v>229</v>
      </c>
      <c r="H37">
        <v>2023</v>
      </c>
      <c r="I37" t="s">
        <v>250</v>
      </c>
    </row>
    <row r="38" spans="1:9" x14ac:dyDescent="0.25">
      <c r="A38" t="s">
        <v>281</v>
      </c>
      <c r="B38" t="s">
        <v>132</v>
      </c>
      <c r="C38" t="s">
        <v>201</v>
      </c>
      <c r="D38" s="1">
        <v>45013</v>
      </c>
      <c r="E38" s="2">
        <v>0.45833333333333331</v>
      </c>
      <c r="F38" t="s">
        <v>232</v>
      </c>
      <c r="G38" t="s">
        <v>226</v>
      </c>
      <c r="H38">
        <v>2023</v>
      </c>
      <c r="I38" t="s">
        <v>247</v>
      </c>
    </row>
    <row r="39" spans="1:9" x14ac:dyDescent="0.25">
      <c r="A39" t="s">
        <v>282</v>
      </c>
      <c r="B39" t="s">
        <v>149</v>
      </c>
      <c r="C39" t="s">
        <v>213</v>
      </c>
      <c r="D39" s="1">
        <v>44980</v>
      </c>
      <c r="E39" s="2">
        <v>0.54166666666666663</v>
      </c>
      <c r="F39" t="s">
        <v>232</v>
      </c>
      <c r="G39" t="s">
        <v>226</v>
      </c>
      <c r="H39">
        <v>2023</v>
      </c>
      <c r="I39" t="s">
        <v>261</v>
      </c>
    </row>
    <row r="40" spans="1:9" x14ac:dyDescent="0.25">
      <c r="A40" t="s">
        <v>283</v>
      </c>
      <c r="B40" t="s">
        <v>110</v>
      </c>
      <c r="C40" t="s">
        <v>195</v>
      </c>
      <c r="D40" s="1">
        <v>45033</v>
      </c>
      <c r="E40" s="2">
        <v>0.33333333333333331</v>
      </c>
      <c r="F40" t="s">
        <v>246</v>
      </c>
      <c r="G40" t="s">
        <v>226</v>
      </c>
      <c r="H40">
        <v>2023</v>
      </c>
      <c r="I40" t="s">
        <v>242</v>
      </c>
    </row>
    <row r="41" spans="1:9" x14ac:dyDescent="0.25">
      <c r="A41" t="s">
        <v>284</v>
      </c>
      <c r="B41" t="s">
        <v>65</v>
      </c>
      <c r="C41" t="s">
        <v>213</v>
      </c>
      <c r="D41" s="1">
        <v>45012</v>
      </c>
      <c r="E41" s="2">
        <v>0.52083333333333337</v>
      </c>
      <c r="F41" t="s">
        <v>225</v>
      </c>
      <c r="G41" t="s">
        <v>249</v>
      </c>
      <c r="H41">
        <v>2023</v>
      </c>
      <c r="I41" t="s">
        <v>247</v>
      </c>
    </row>
    <row r="42" spans="1:9" x14ac:dyDescent="0.25">
      <c r="A42" t="s">
        <v>285</v>
      </c>
      <c r="B42" t="s">
        <v>43</v>
      </c>
      <c r="C42" t="s">
        <v>191</v>
      </c>
      <c r="D42" s="1">
        <v>44927</v>
      </c>
      <c r="E42" s="2">
        <v>0.58333333333333337</v>
      </c>
      <c r="F42" t="s">
        <v>237</v>
      </c>
      <c r="G42" t="s">
        <v>229</v>
      </c>
      <c r="H42">
        <v>2023</v>
      </c>
      <c r="I42" t="s">
        <v>250</v>
      </c>
    </row>
    <row r="43" spans="1:9" x14ac:dyDescent="0.25">
      <c r="A43" t="s">
        <v>286</v>
      </c>
      <c r="B43" t="s">
        <v>147</v>
      </c>
      <c r="C43" t="s">
        <v>191</v>
      </c>
      <c r="D43" s="1">
        <v>45006</v>
      </c>
      <c r="E43" s="2">
        <v>0.46875</v>
      </c>
      <c r="F43" t="s">
        <v>237</v>
      </c>
      <c r="G43" t="s">
        <v>226</v>
      </c>
      <c r="H43">
        <v>2023</v>
      </c>
      <c r="I43" t="s">
        <v>247</v>
      </c>
    </row>
    <row r="44" spans="1:9" x14ac:dyDescent="0.25">
      <c r="A44" t="s">
        <v>287</v>
      </c>
      <c r="B44" t="s">
        <v>142</v>
      </c>
      <c r="C44" t="s">
        <v>204</v>
      </c>
      <c r="D44" s="1">
        <v>45014</v>
      </c>
      <c r="E44" s="2">
        <v>0.38541666666666669</v>
      </c>
      <c r="F44" t="s">
        <v>232</v>
      </c>
      <c r="G44" t="s">
        <v>229</v>
      </c>
      <c r="H44">
        <v>2023</v>
      </c>
      <c r="I44" t="s">
        <v>247</v>
      </c>
    </row>
    <row r="45" spans="1:9" x14ac:dyDescent="0.25">
      <c r="A45" t="s">
        <v>288</v>
      </c>
      <c r="B45" t="s">
        <v>135</v>
      </c>
      <c r="C45" t="s">
        <v>206</v>
      </c>
      <c r="D45" s="1">
        <v>45189</v>
      </c>
      <c r="E45" s="2">
        <v>0.52083333333333337</v>
      </c>
      <c r="F45" t="s">
        <v>246</v>
      </c>
      <c r="G45" t="s">
        <v>249</v>
      </c>
      <c r="H45">
        <v>2023</v>
      </c>
      <c r="I45" t="s">
        <v>235</v>
      </c>
    </row>
    <row r="46" spans="1:9" x14ac:dyDescent="0.25">
      <c r="A46" t="s">
        <v>289</v>
      </c>
      <c r="B46" t="s">
        <v>65</v>
      </c>
      <c r="C46" t="s">
        <v>206</v>
      </c>
      <c r="D46" s="1">
        <v>45197</v>
      </c>
      <c r="E46" s="2">
        <v>0.70833333333333337</v>
      </c>
      <c r="F46" t="s">
        <v>237</v>
      </c>
      <c r="G46" t="s">
        <v>226</v>
      </c>
      <c r="H46">
        <v>2023</v>
      </c>
      <c r="I46" t="s">
        <v>235</v>
      </c>
    </row>
    <row r="47" spans="1:9" x14ac:dyDescent="0.25">
      <c r="A47" t="s">
        <v>290</v>
      </c>
      <c r="B47" t="s">
        <v>94</v>
      </c>
      <c r="C47" t="s">
        <v>199</v>
      </c>
      <c r="D47" s="1">
        <v>45280</v>
      </c>
      <c r="E47" s="2">
        <v>0.55208333333333337</v>
      </c>
      <c r="F47" t="s">
        <v>232</v>
      </c>
      <c r="G47" t="s">
        <v>233</v>
      </c>
      <c r="H47">
        <v>2023</v>
      </c>
      <c r="I47" t="s">
        <v>263</v>
      </c>
    </row>
    <row r="48" spans="1:9" x14ac:dyDescent="0.25">
      <c r="A48" t="s">
        <v>291</v>
      </c>
      <c r="B48" t="s">
        <v>138</v>
      </c>
      <c r="C48" t="s">
        <v>208</v>
      </c>
      <c r="D48" s="1">
        <v>45048</v>
      </c>
      <c r="E48" s="2">
        <v>0.45833333333333331</v>
      </c>
      <c r="F48" t="s">
        <v>225</v>
      </c>
      <c r="G48" t="s">
        <v>249</v>
      </c>
      <c r="H48">
        <v>2023</v>
      </c>
      <c r="I48" t="s">
        <v>244</v>
      </c>
    </row>
    <row r="49" spans="1:9" x14ac:dyDescent="0.25">
      <c r="A49" t="s">
        <v>292</v>
      </c>
      <c r="B49" t="s">
        <v>13</v>
      </c>
      <c r="C49" t="s">
        <v>213</v>
      </c>
      <c r="D49" s="1">
        <v>44942</v>
      </c>
      <c r="E49" s="2">
        <v>0.65625</v>
      </c>
      <c r="F49" t="s">
        <v>237</v>
      </c>
      <c r="G49" t="s">
        <v>233</v>
      </c>
      <c r="H49">
        <v>2023</v>
      </c>
      <c r="I49" t="s">
        <v>250</v>
      </c>
    </row>
    <row r="50" spans="1:9" x14ac:dyDescent="0.25">
      <c r="A50" t="s">
        <v>293</v>
      </c>
      <c r="B50" t="s">
        <v>43</v>
      </c>
      <c r="C50" t="s">
        <v>215</v>
      </c>
      <c r="D50" s="1">
        <v>45046</v>
      </c>
      <c r="E50" s="2">
        <v>0.64583333333333337</v>
      </c>
      <c r="F50" t="s">
        <v>232</v>
      </c>
      <c r="G50" t="s">
        <v>229</v>
      </c>
      <c r="H50">
        <v>2023</v>
      </c>
      <c r="I50" t="s">
        <v>242</v>
      </c>
    </row>
    <row r="51" spans="1:9" x14ac:dyDescent="0.25">
      <c r="A51" t="s">
        <v>294</v>
      </c>
      <c r="B51" t="s">
        <v>171</v>
      </c>
      <c r="C51" t="s">
        <v>211</v>
      </c>
      <c r="D51" s="1">
        <v>45154</v>
      </c>
      <c r="E51" s="2">
        <v>0.625</v>
      </c>
      <c r="F51" t="s">
        <v>232</v>
      </c>
      <c r="G51" t="s">
        <v>229</v>
      </c>
      <c r="H51">
        <v>2023</v>
      </c>
      <c r="I51" t="s">
        <v>227</v>
      </c>
    </row>
    <row r="52" spans="1:9" x14ac:dyDescent="0.25">
      <c r="A52" t="s">
        <v>295</v>
      </c>
      <c r="B52" t="s">
        <v>36</v>
      </c>
      <c r="C52" t="s">
        <v>206</v>
      </c>
      <c r="D52" s="1">
        <v>44961</v>
      </c>
      <c r="E52" s="2">
        <v>0.48958333333333331</v>
      </c>
      <c r="F52" t="s">
        <v>240</v>
      </c>
      <c r="G52" t="s">
        <v>249</v>
      </c>
      <c r="H52">
        <v>2023</v>
      </c>
      <c r="I52" t="s">
        <v>261</v>
      </c>
    </row>
    <row r="53" spans="1:9" x14ac:dyDescent="0.25">
      <c r="A53" t="s">
        <v>296</v>
      </c>
      <c r="B53" t="s">
        <v>85</v>
      </c>
      <c r="C53" t="s">
        <v>211</v>
      </c>
      <c r="D53" s="1">
        <v>45119</v>
      </c>
      <c r="E53" s="2">
        <v>0.39583333333333331</v>
      </c>
      <c r="F53" t="s">
        <v>225</v>
      </c>
      <c r="G53" t="s">
        <v>229</v>
      </c>
      <c r="H53">
        <v>2023</v>
      </c>
      <c r="I53" t="s">
        <v>238</v>
      </c>
    </row>
    <row r="54" spans="1:9" x14ac:dyDescent="0.25">
      <c r="A54" t="s">
        <v>297</v>
      </c>
      <c r="B54" t="s">
        <v>113</v>
      </c>
      <c r="C54" t="s">
        <v>204</v>
      </c>
      <c r="D54" s="1">
        <v>44969</v>
      </c>
      <c r="E54" s="2">
        <v>0.4375</v>
      </c>
      <c r="F54" t="s">
        <v>240</v>
      </c>
      <c r="G54" t="s">
        <v>233</v>
      </c>
      <c r="H54">
        <v>2023</v>
      </c>
      <c r="I54" t="s">
        <v>261</v>
      </c>
    </row>
    <row r="55" spans="1:9" x14ac:dyDescent="0.25">
      <c r="A55" t="s">
        <v>298</v>
      </c>
      <c r="B55" t="s">
        <v>85</v>
      </c>
      <c r="C55" t="s">
        <v>211</v>
      </c>
      <c r="D55" s="1">
        <v>45276</v>
      </c>
      <c r="E55" s="2">
        <v>0.48958333333333331</v>
      </c>
      <c r="F55" t="s">
        <v>246</v>
      </c>
      <c r="G55" t="s">
        <v>226</v>
      </c>
      <c r="H55">
        <v>2023</v>
      </c>
      <c r="I55" t="s">
        <v>263</v>
      </c>
    </row>
    <row r="56" spans="1:9" x14ac:dyDescent="0.25">
      <c r="A56" t="s">
        <v>299</v>
      </c>
      <c r="B56" t="s">
        <v>22</v>
      </c>
      <c r="C56" t="s">
        <v>215</v>
      </c>
      <c r="D56" s="1">
        <v>45205</v>
      </c>
      <c r="E56" s="2">
        <v>0.72916666666666663</v>
      </c>
      <c r="F56" t="s">
        <v>240</v>
      </c>
      <c r="G56" t="s">
        <v>226</v>
      </c>
      <c r="H56">
        <v>2023</v>
      </c>
      <c r="I56" t="s">
        <v>272</v>
      </c>
    </row>
    <row r="57" spans="1:9" x14ac:dyDescent="0.25">
      <c r="A57" t="s">
        <v>300</v>
      </c>
      <c r="B57" t="s">
        <v>181</v>
      </c>
      <c r="C57" t="s">
        <v>201</v>
      </c>
      <c r="D57" s="1">
        <v>44928</v>
      </c>
      <c r="E57" s="2">
        <v>0.53125</v>
      </c>
      <c r="F57" t="s">
        <v>240</v>
      </c>
      <c r="G57" t="s">
        <v>226</v>
      </c>
      <c r="H57">
        <v>2023</v>
      </c>
      <c r="I57" t="s">
        <v>250</v>
      </c>
    </row>
    <row r="58" spans="1:9" x14ac:dyDescent="0.25">
      <c r="A58" t="s">
        <v>301</v>
      </c>
      <c r="B58" t="s">
        <v>126</v>
      </c>
      <c r="C58" t="s">
        <v>215</v>
      </c>
      <c r="D58" s="1">
        <v>45031</v>
      </c>
      <c r="E58" s="2">
        <v>0.73958333333333337</v>
      </c>
      <c r="F58" t="s">
        <v>237</v>
      </c>
      <c r="G58" t="s">
        <v>249</v>
      </c>
      <c r="H58">
        <v>2023</v>
      </c>
      <c r="I58" t="s">
        <v>242</v>
      </c>
    </row>
    <row r="59" spans="1:9" x14ac:dyDescent="0.25">
      <c r="A59" t="s">
        <v>302</v>
      </c>
      <c r="B59" t="s">
        <v>138</v>
      </c>
      <c r="C59" t="s">
        <v>211</v>
      </c>
      <c r="D59" s="1">
        <v>45055</v>
      </c>
      <c r="E59" s="2">
        <v>0.55208333333333337</v>
      </c>
      <c r="F59" t="s">
        <v>232</v>
      </c>
      <c r="G59" t="s">
        <v>229</v>
      </c>
      <c r="H59">
        <v>2023</v>
      </c>
      <c r="I59" t="s">
        <v>244</v>
      </c>
    </row>
    <row r="60" spans="1:9" x14ac:dyDescent="0.25">
      <c r="A60" t="s">
        <v>303</v>
      </c>
      <c r="B60" t="s">
        <v>123</v>
      </c>
      <c r="C60" t="s">
        <v>215</v>
      </c>
      <c r="D60" s="1">
        <v>44994</v>
      </c>
      <c r="E60" s="2">
        <v>0.64583333333333337</v>
      </c>
      <c r="F60" t="s">
        <v>225</v>
      </c>
      <c r="G60" t="s">
        <v>233</v>
      </c>
      <c r="H60">
        <v>2023</v>
      </c>
      <c r="I60" t="s">
        <v>247</v>
      </c>
    </row>
    <row r="61" spans="1:9" x14ac:dyDescent="0.25">
      <c r="A61" t="s">
        <v>304</v>
      </c>
      <c r="B61" t="s">
        <v>98</v>
      </c>
      <c r="C61" t="s">
        <v>195</v>
      </c>
      <c r="D61" s="1">
        <v>45252</v>
      </c>
      <c r="E61" s="2">
        <v>0.71875</v>
      </c>
      <c r="F61" t="s">
        <v>240</v>
      </c>
      <c r="G61" t="s">
        <v>229</v>
      </c>
      <c r="H61">
        <v>2023</v>
      </c>
      <c r="I61" t="s">
        <v>252</v>
      </c>
    </row>
    <row r="62" spans="1:9" x14ac:dyDescent="0.25">
      <c r="A62" t="s">
        <v>305</v>
      </c>
      <c r="B62" t="s">
        <v>113</v>
      </c>
      <c r="C62" t="s">
        <v>204</v>
      </c>
      <c r="D62" s="1">
        <v>44941</v>
      </c>
      <c r="E62" s="2">
        <v>0.70833333333333337</v>
      </c>
      <c r="F62" t="s">
        <v>225</v>
      </c>
      <c r="G62" t="s">
        <v>229</v>
      </c>
      <c r="H62">
        <v>2023</v>
      </c>
      <c r="I62" t="s">
        <v>250</v>
      </c>
    </row>
    <row r="63" spans="1:9" x14ac:dyDescent="0.25">
      <c r="A63" t="s">
        <v>306</v>
      </c>
      <c r="B63" t="s">
        <v>73</v>
      </c>
      <c r="C63" t="s">
        <v>213</v>
      </c>
      <c r="D63" s="1">
        <v>45091</v>
      </c>
      <c r="E63" s="2">
        <v>0.63541666666666663</v>
      </c>
      <c r="F63" t="s">
        <v>240</v>
      </c>
      <c r="G63" t="s">
        <v>229</v>
      </c>
      <c r="H63">
        <v>2023</v>
      </c>
      <c r="I63" t="s">
        <v>230</v>
      </c>
    </row>
    <row r="64" spans="1:9" x14ac:dyDescent="0.25">
      <c r="A64" t="s">
        <v>307</v>
      </c>
      <c r="B64" t="s">
        <v>184</v>
      </c>
      <c r="C64" t="s">
        <v>201</v>
      </c>
      <c r="D64" s="1">
        <v>45106</v>
      </c>
      <c r="E64" s="2">
        <v>0.375</v>
      </c>
      <c r="F64" t="s">
        <v>246</v>
      </c>
      <c r="G64" t="s">
        <v>226</v>
      </c>
      <c r="H64">
        <v>2023</v>
      </c>
      <c r="I64" t="s">
        <v>230</v>
      </c>
    </row>
    <row r="65" spans="1:9" x14ac:dyDescent="0.25">
      <c r="A65" t="s">
        <v>308</v>
      </c>
      <c r="B65" t="s">
        <v>145</v>
      </c>
      <c r="C65" t="s">
        <v>206</v>
      </c>
      <c r="D65" s="1">
        <v>45077</v>
      </c>
      <c r="E65" s="2">
        <v>0.35416666666666669</v>
      </c>
      <c r="F65" t="s">
        <v>240</v>
      </c>
      <c r="G65" t="s">
        <v>233</v>
      </c>
      <c r="H65">
        <v>2023</v>
      </c>
      <c r="I65" t="s">
        <v>244</v>
      </c>
    </row>
    <row r="66" spans="1:9" x14ac:dyDescent="0.25">
      <c r="A66" t="s">
        <v>309</v>
      </c>
      <c r="B66" t="s">
        <v>140</v>
      </c>
      <c r="C66" t="s">
        <v>191</v>
      </c>
      <c r="D66" s="1">
        <v>45040</v>
      </c>
      <c r="E66" s="2">
        <v>0.65625</v>
      </c>
      <c r="F66" t="s">
        <v>237</v>
      </c>
      <c r="G66" t="s">
        <v>233</v>
      </c>
      <c r="H66">
        <v>2023</v>
      </c>
      <c r="I66" t="s">
        <v>242</v>
      </c>
    </row>
    <row r="67" spans="1:9" x14ac:dyDescent="0.25">
      <c r="A67" t="s">
        <v>310</v>
      </c>
      <c r="B67" t="s">
        <v>140</v>
      </c>
      <c r="C67" t="s">
        <v>213</v>
      </c>
      <c r="D67" s="1">
        <v>45056</v>
      </c>
      <c r="E67" s="2">
        <v>0.48958333333333331</v>
      </c>
      <c r="F67" t="s">
        <v>232</v>
      </c>
      <c r="G67" t="s">
        <v>229</v>
      </c>
      <c r="H67">
        <v>2023</v>
      </c>
      <c r="I67" t="s">
        <v>244</v>
      </c>
    </row>
    <row r="68" spans="1:9" x14ac:dyDescent="0.25">
      <c r="A68" t="s">
        <v>311</v>
      </c>
      <c r="B68" t="s">
        <v>165</v>
      </c>
      <c r="C68" t="s">
        <v>191</v>
      </c>
      <c r="D68" s="1">
        <v>45148</v>
      </c>
      <c r="E68" s="2">
        <v>0.45833333333333331</v>
      </c>
      <c r="F68" t="s">
        <v>246</v>
      </c>
      <c r="G68" t="s">
        <v>226</v>
      </c>
      <c r="H68">
        <v>2023</v>
      </c>
      <c r="I68" t="s">
        <v>227</v>
      </c>
    </row>
    <row r="69" spans="1:9" x14ac:dyDescent="0.25">
      <c r="A69" t="s">
        <v>312</v>
      </c>
      <c r="B69" t="s">
        <v>149</v>
      </c>
      <c r="C69" t="s">
        <v>204</v>
      </c>
      <c r="D69" s="1">
        <v>44999</v>
      </c>
      <c r="E69" s="2">
        <v>0.625</v>
      </c>
      <c r="F69" t="s">
        <v>240</v>
      </c>
      <c r="G69" t="s">
        <v>226</v>
      </c>
      <c r="H69">
        <v>2023</v>
      </c>
      <c r="I69" t="s">
        <v>247</v>
      </c>
    </row>
    <row r="70" spans="1:9" x14ac:dyDescent="0.25">
      <c r="A70" t="s">
        <v>313</v>
      </c>
      <c r="B70" t="s">
        <v>73</v>
      </c>
      <c r="C70" t="s">
        <v>201</v>
      </c>
      <c r="D70" s="1">
        <v>45014</v>
      </c>
      <c r="E70" s="2">
        <v>0.64583333333333337</v>
      </c>
      <c r="F70" t="s">
        <v>225</v>
      </c>
      <c r="G70" t="s">
        <v>233</v>
      </c>
      <c r="H70">
        <v>2023</v>
      </c>
      <c r="I70" t="s">
        <v>247</v>
      </c>
    </row>
    <row r="71" spans="1:9" x14ac:dyDescent="0.25">
      <c r="A71" t="s">
        <v>314</v>
      </c>
      <c r="B71" t="s">
        <v>30</v>
      </c>
      <c r="C71" t="s">
        <v>199</v>
      </c>
      <c r="D71" s="1">
        <v>45164</v>
      </c>
      <c r="E71" s="2">
        <v>0.70833333333333337</v>
      </c>
      <c r="F71" t="s">
        <v>246</v>
      </c>
      <c r="G71" t="s">
        <v>226</v>
      </c>
      <c r="H71">
        <v>2023</v>
      </c>
      <c r="I71" t="s">
        <v>227</v>
      </c>
    </row>
    <row r="72" spans="1:9" x14ac:dyDescent="0.25">
      <c r="A72" t="s">
        <v>315</v>
      </c>
      <c r="B72" t="s">
        <v>13</v>
      </c>
      <c r="C72" t="s">
        <v>206</v>
      </c>
      <c r="D72" s="1">
        <v>44952</v>
      </c>
      <c r="E72" s="2">
        <v>0.70833333333333337</v>
      </c>
      <c r="F72" t="s">
        <v>246</v>
      </c>
      <c r="G72" t="s">
        <v>226</v>
      </c>
      <c r="H72">
        <v>2023</v>
      </c>
      <c r="I72" t="s">
        <v>250</v>
      </c>
    </row>
    <row r="73" spans="1:9" x14ac:dyDescent="0.25">
      <c r="A73" t="s">
        <v>316</v>
      </c>
      <c r="B73" t="s">
        <v>140</v>
      </c>
      <c r="C73" t="s">
        <v>195</v>
      </c>
      <c r="D73" s="1">
        <v>45089</v>
      </c>
      <c r="E73" s="2">
        <v>0.5625</v>
      </c>
      <c r="F73" t="s">
        <v>240</v>
      </c>
      <c r="G73" t="s">
        <v>226</v>
      </c>
      <c r="H73">
        <v>2023</v>
      </c>
      <c r="I73" t="s">
        <v>230</v>
      </c>
    </row>
    <row r="74" spans="1:9" x14ac:dyDescent="0.25">
      <c r="A74" t="s">
        <v>317</v>
      </c>
      <c r="B74" t="s">
        <v>157</v>
      </c>
      <c r="C74" t="s">
        <v>199</v>
      </c>
      <c r="D74" s="1">
        <v>45284</v>
      </c>
      <c r="E74" s="2">
        <v>0.625</v>
      </c>
      <c r="F74" t="s">
        <v>246</v>
      </c>
      <c r="G74" t="s">
        <v>249</v>
      </c>
      <c r="H74">
        <v>2023</v>
      </c>
      <c r="I74" t="s">
        <v>263</v>
      </c>
    </row>
    <row r="75" spans="1:9" x14ac:dyDescent="0.25">
      <c r="A75" t="s">
        <v>318</v>
      </c>
      <c r="B75" t="s">
        <v>65</v>
      </c>
      <c r="C75" t="s">
        <v>204</v>
      </c>
      <c r="D75" s="1">
        <v>45130</v>
      </c>
      <c r="E75" s="2">
        <v>0.5625</v>
      </c>
      <c r="F75" t="s">
        <v>225</v>
      </c>
      <c r="G75" t="s">
        <v>229</v>
      </c>
      <c r="H75">
        <v>2023</v>
      </c>
      <c r="I75" t="s">
        <v>238</v>
      </c>
    </row>
    <row r="76" spans="1:9" x14ac:dyDescent="0.25">
      <c r="A76" t="s">
        <v>319</v>
      </c>
      <c r="B76" t="s">
        <v>165</v>
      </c>
      <c r="C76" t="s">
        <v>213</v>
      </c>
      <c r="D76" s="1">
        <v>45054</v>
      </c>
      <c r="E76" s="2">
        <v>0.58333333333333337</v>
      </c>
      <c r="F76" t="s">
        <v>246</v>
      </c>
      <c r="G76" t="s">
        <v>233</v>
      </c>
      <c r="H76">
        <v>2023</v>
      </c>
      <c r="I76" t="s">
        <v>244</v>
      </c>
    </row>
    <row r="77" spans="1:9" x14ac:dyDescent="0.25">
      <c r="A77" t="s">
        <v>320</v>
      </c>
      <c r="B77" t="s">
        <v>168</v>
      </c>
      <c r="C77" t="s">
        <v>195</v>
      </c>
      <c r="D77" s="1">
        <v>45257</v>
      </c>
      <c r="E77" s="2">
        <v>0.5</v>
      </c>
      <c r="F77" t="s">
        <v>225</v>
      </c>
      <c r="G77" t="s">
        <v>233</v>
      </c>
      <c r="H77">
        <v>2023</v>
      </c>
      <c r="I77" t="s">
        <v>252</v>
      </c>
    </row>
    <row r="78" spans="1:9" x14ac:dyDescent="0.25">
      <c r="A78" t="s">
        <v>321</v>
      </c>
      <c r="B78" t="s">
        <v>129</v>
      </c>
      <c r="C78" t="s">
        <v>215</v>
      </c>
      <c r="D78" s="1">
        <v>45274</v>
      </c>
      <c r="E78" s="2">
        <v>0.71875</v>
      </c>
      <c r="F78" t="s">
        <v>240</v>
      </c>
      <c r="G78" t="s">
        <v>249</v>
      </c>
      <c r="H78">
        <v>2023</v>
      </c>
      <c r="I78" t="s">
        <v>263</v>
      </c>
    </row>
    <row r="79" spans="1:9" x14ac:dyDescent="0.25">
      <c r="A79" t="s">
        <v>322</v>
      </c>
      <c r="B79" t="s">
        <v>75</v>
      </c>
      <c r="C79" t="s">
        <v>211</v>
      </c>
      <c r="D79" s="1">
        <v>45186</v>
      </c>
      <c r="E79" s="2">
        <v>0.46875</v>
      </c>
      <c r="F79" t="s">
        <v>232</v>
      </c>
      <c r="G79" t="s">
        <v>229</v>
      </c>
      <c r="H79">
        <v>2023</v>
      </c>
      <c r="I79" t="s">
        <v>235</v>
      </c>
    </row>
    <row r="80" spans="1:9" x14ac:dyDescent="0.25">
      <c r="A80" t="s">
        <v>323</v>
      </c>
      <c r="B80" t="s">
        <v>73</v>
      </c>
      <c r="C80" t="s">
        <v>195</v>
      </c>
      <c r="D80" s="1">
        <v>45286</v>
      </c>
      <c r="E80" s="2">
        <v>0.58333333333333337</v>
      </c>
      <c r="F80" t="s">
        <v>246</v>
      </c>
      <c r="G80" t="s">
        <v>233</v>
      </c>
      <c r="H80">
        <v>2023</v>
      </c>
      <c r="I80" t="s">
        <v>263</v>
      </c>
    </row>
    <row r="81" spans="1:9" x14ac:dyDescent="0.25">
      <c r="A81" t="s">
        <v>324</v>
      </c>
      <c r="B81" t="s">
        <v>135</v>
      </c>
      <c r="C81" t="s">
        <v>204</v>
      </c>
      <c r="D81" s="1">
        <v>45103</v>
      </c>
      <c r="E81" s="2">
        <v>0.35416666666666669</v>
      </c>
      <c r="F81" t="s">
        <v>232</v>
      </c>
      <c r="G81" t="s">
        <v>226</v>
      </c>
      <c r="H81">
        <v>2023</v>
      </c>
      <c r="I81" t="s">
        <v>230</v>
      </c>
    </row>
    <row r="82" spans="1:9" x14ac:dyDescent="0.25">
      <c r="A82" t="s">
        <v>325</v>
      </c>
      <c r="B82" t="s">
        <v>174</v>
      </c>
      <c r="C82" t="s">
        <v>208</v>
      </c>
      <c r="D82" s="1">
        <v>44932</v>
      </c>
      <c r="E82" s="2">
        <v>0.5625</v>
      </c>
      <c r="F82" t="s">
        <v>225</v>
      </c>
      <c r="G82" t="s">
        <v>233</v>
      </c>
      <c r="H82">
        <v>2023</v>
      </c>
      <c r="I82" t="s">
        <v>250</v>
      </c>
    </row>
    <row r="83" spans="1:9" x14ac:dyDescent="0.25">
      <c r="A83" t="s">
        <v>326</v>
      </c>
      <c r="B83" t="s">
        <v>22</v>
      </c>
      <c r="C83" t="s">
        <v>211</v>
      </c>
      <c r="D83" s="1">
        <v>44946</v>
      </c>
      <c r="E83" s="2">
        <v>0.44791666666666669</v>
      </c>
      <c r="F83" t="s">
        <v>246</v>
      </c>
      <c r="G83" t="s">
        <v>226</v>
      </c>
      <c r="H83">
        <v>2023</v>
      </c>
      <c r="I83" t="s">
        <v>250</v>
      </c>
    </row>
    <row r="84" spans="1:9" x14ac:dyDescent="0.25">
      <c r="A84" t="s">
        <v>327</v>
      </c>
      <c r="B84" t="s">
        <v>184</v>
      </c>
      <c r="C84" t="s">
        <v>191</v>
      </c>
      <c r="D84" s="1">
        <v>45237</v>
      </c>
      <c r="E84" s="2">
        <v>0.52083333333333337</v>
      </c>
      <c r="F84" t="s">
        <v>237</v>
      </c>
      <c r="G84" t="s">
        <v>249</v>
      </c>
      <c r="H84">
        <v>2023</v>
      </c>
      <c r="I84" t="s">
        <v>252</v>
      </c>
    </row>
    <row r="85" spans="1:9" x14ac:dyDescent="0.25">
      <c r="A85" t="s">
        <v>328</v>
      </c>
      <c r="B85" t="s">
        <v>145</v>
      </c>
      <c r="C85" t="s">
        <v>206</v>
      </c>
      <c r="D85" s="1">
        <v>45077</v>
      </c>
      <c r="E85" s="2">
        <v>0.66666666666666663</v>
      </c>
      <c r="F85" t="s">
        <v>232</v>
      </c>
      <c r="G85" t="s">
        <v>226</v>
      </c>
      <c r="H85">
        <v>2023</v>
      </c>
      <c r="I85" t="s">
        <v>244</v>
      </c>
    </row>
    <row r="86" spans="1:9" x14ac:dyDescent="0.25">
      <c r="A86" t="s">
        <v>329</v>
      </c>
      <c r="B86" t="s">
        <v>110</v>
      </c>
      <c r="C86" t="s">
        <v>191</v>
      </c>
      <c r="D86" s="1">
        <v>44975</v>
      </c>
      <c r="E86" s="2">
        <v>0.67708333333333337</v>
      </c>
      <c r="F86" t="s">
        <v>246</v>
      </c>
      <c r="G86" t="s">
        <v>233</v>
      </c>
      <c r="H86">
        <v>2023</v>
      </c>
      <c r="I86" t="s">
        <v>261</v>
      </c>
    </row>
    <row r="87" spans="1:9" x14ac:dyDescent="0.25">
      <c r="A87" t="s">
        <v>330</v>
      </c>
      <c r="B87" t="s">
        <v>87</v>
      </c>
      <c r="C87" t="s">
        <v>195</v>
      </c>
      <c r="D87" s="1">
        <v>45228</v>
      </c>
      <c r="E87" s="2">
        <v>0.45833333333333331</v>
      </c>
      <c r="F87" t="s">
        <v>232</v>
      </c>
      <c r="G87" t="s">
        <v>233</v>
      </c>
      <c r="H87">
        <v>2023</v>
      </c>
      <c r="I87" t="s">
        <v>272</v>
      </c>
    </row>
    <row r="88" spans="1:9" x14ac:dyDescent="0.25">
      <c r="A88" t="s">
        <v>331</v>
      </c>
      <c r="B88" t="s">
        <v>120</v>
      </c>
      <c r="C88" t="s">
        <v>191</v>
      </c>
      <c r="D88" s="1">
        <v>45218</v>
      </c>
      <c r="E88" s="2">
        <v>0.51041666666666663</v>
      </c>
      <c r="F88" t="s">
        <v>246</v>
      </c>
      <c r="G88" t="s">
        <v>233</v>
      </c>
      <c r="H88">
        <v>2023</v>
      </c>
      <c r="I88" t="s">
        <v>272</v>
      </c>
    </row>
    <row r="89" spans="1:9" x14ac:dyDescent="0.25">
      <c r="A89" t="s">
        <v>332</v>
      </c>
      <c r="B89" t="s">
        <v>57</v>
      </c>
      <c r="C89" t="s">
        <v>204</v>
      </c>
      <c r="D89" s="1">
        <v>45048</v>
      </c>
      <c r="E89" s="2">
        <v>0.6875</v>
      </c>
      <c r="F89" t="s">
        <v>240</v>
      </c>
      <c r="G89" t="s">
        <v>249</v>
      </c>
      <c r="H89">
        <v>2023</v>
      </c>
      <c r="I89" t="s">
        <v>244</v>
      </c>
    </row>
    <row r="90" spans="1:9" x14ac:dyDescent="0.25">
      <c r="A90" t="s">
        <v>333</v>
      </c>
      <c r="B90" t="s">
        <v>129</v>
      </c>
      <c r="C90" t="s">
        <v>215</v>
      </c>
      <c r="D90" s="1">
        <v>44971</v>
      </c>
      <c r="E90" s="2">
        <v>0.45833333333333331</v>
      </c>
      <c r="F90" t="s">
        <v>232</v>
      </c>
      <c r="G90" t="s">
        <v>249</v>
      </c>
      <c r="H90">
        <v>2023</v>
      </c>
      <c r="I90" t="s">
        <v>261</v>
      </c>
    </row>
    <row r="91" spans="1:9" x14ac:dyDescent="0.25">
      <c r="A91" t="s">
        <v>334</v>
      </c>
      <c r="B91" t="s">
        <v>120</v>
      </c>
      <c r="C91" t="s">
        <v>213</v>
      </c>
      <c r="D91" s="1">
        <v>45078</v>
      </c>
      <c r="E91" s="2">
        <v>0.72916666666666663</v>
      </c>
      <c r="F91" t="s">
        <v>237</v>
      </c>
      <c r="G91" t="s">
        <v>229</v>
      </c>
      <c r="H91">
        <v>2023</v>
      </c>
      <c r="I91" t="s">
        <v>230</v>
      </c>
    </row>
    <row r="92" spans="1:9" x14ac:dyDescent="0.25">
      <c r="A92" t="s">
        <v>335</v>
      </c>
      <c r="B92" t="s">
        <v>65</v>
      </c>
      <c r="C92" t="s">
        <v>206</v>
      </c>
      <c r="D92" s="1">
        <v>45088</v>
      </c>
      <c r="E92" s="2">
        <v>0.55208333333333337</v>
      </c>
      <c r="F92" t="s">
        <v>237</v>
      </c>
      <c r="G92" t="s">
        <v>233</v>
      </c>
      <c r="H92">
        <v>2023</v>
      </c>
      <c r="I92" t="s">
        <v>230</v>
      </c>
    </row>
    <row r="93" spans="1:9" x14ac:dyDescent="0.25">
      <c r="A93" t="s">
        <v>336</v>
      </c>
      <c r="B93" t="s">
        <v>120</v>
      </c>
      <c r="C93" t="s">
        <v>191</v>
      </c>
      <c r="D93" s="1">
        <v>44956</v>
      </c>
      <c r="E93" s="2">
        <v>0.59375</v>
      </c>
      <c r="F93" t="s">
        <v>225</v>
      </c>
      <c r="G93" t="s">
        <v>226</v>
      </c>
      <c r="H93">
        <v>2023</v>
      </c>
      <c r="I93" t="s">
        <v>250</v>
      </c>
    </row>
    <row r="94" spans="1:9" x14ac:dyDescent="0.25">
      <c r="A94" t="s">
        <v>337</v>
      </c>
      <c r="B94" t="s">
        <v>142</v>
      </c>
      <c r="C94" t="s">
        <v>191</v>
      </c>
      <c r="D94" s="1">
        <v>45025</v>
      </c>
      <c r="E94" s="2">
        <v>0.39583333333333331</v>
      </c>
      <c r="F94" t="s">
        <v>246</v>
      </c>
      <c r="G94" t="s">
        <v>249</v>
      </c>
      <c r="H94">
        <v>2023</v>
      </c>
      <c r="I94" t="s">
        <v>242</v>
      </c>
    </row>
    <row r="95" spans="1:9" x14ac:dyDescent="0.25">
      <c r="A95" t="s">
        <v>338</v>
      </c>
      <c r="B95" t="s">
        <v>160</v>
      </c>
      <c r="C95" t="s">
        <v>195</v>
      </c>
      <c r="D95" s="1">
        <v>45024</v>
      </c>
      <c r="E95" s="2">
        <v>0.36458333333333331</v>
      </c>
      <c r="F95" t="s">
        <v>232</v>
      </c>
      <c r="G95" t="s">
        <v>233</v>
      </c>
      <c r="H95">
        <v>2023</v>
      </c>
      <c r="I95" t="s">
        <v>242</v>
      </c>
    </row>
    <row r="96" spans="1:9" x14ac:dyDescent="0.25">
      <c r="A96" t="s">
        <v>339</v>
      </c>
      <c r="B96" t="s">
        <v>53</v>
      </c>
      <c r="C96" t="s">
        <v>213</v>
      </c>
      <c r="D96" s="1">
        <v>45055</v>
      </c>
      <c r="E96" s="2">
        <v>0.42708333333333331</v>
      </c>
      <c r="F96" t="s">
        <v>225</v>
      </c>
      <c r="G96" t="s">
        <v>233</v>
      </c>
      <c r="H96">
        <v>2023</v>
      </c>
      <c r="I96" t="s">
        <v>244</v>
      </c>
    </row>
    <row r="97" spans="1:9" x14ac:dyDescent="0.25">
      <c r="A97" t="s">
        <v>340</v>
      </c>
      <c r="B97" t="s">
        <v>36</v>
      </c>
      <c r="C97" t="s">
        <v>199</v>
      </c>
      <c r="D97" s="1">
        <v>45114</v>
      </c>
      <c r="E97" s="2">
        <v>0.625</v>
      </c>
      <c r="F97" t="s">
        <v>232</v>
      </c>
      <c r="G97" t="s">
        <v>249</v>
      </c>
      <c r="H97">
        <v>2023</v>
      </c>
      <c r="I97" t="s">
        <v>238</v>
      </c>
    </row>
    <row r="98" spans="1:9" x14ac:dyDescent="0.25">
      <c r="A98" t="s">
        <v>341</v>
      </c>
      <c r="B98" t="s">
        <v>184</v>
      </c>
      <c r="C98" t="s">
        <v>191</v>
      </c>
      <c r="D98" s="1">
        <v>45052</v>
      </c>
      <c r="E98" s="2">
        <v>0.61458333333333337</v>
      </c>
      <c r="F98" t="s">
        <v>246</v>
      </c>
      <c r="G98" t="s">
        <v>229</v>
      </c>
      <c r="H98">
        <v>2023</v>
      </c>
      <c r="I98" t="s">
        <v>244</v>
      </c>
    </row>
    <row r="99" spans="1:9" x14ac:dyDescent="0.25">
      <c r="A99" t="s">
        <v>342</v>
      </c>
      <c r="B99" t="s">
        <v>171</v>
      </c>
      <c r="C99" t="s">
        <v>204</v>
      </c>
      <c r="D99" s="1">
        <v>45002</v>
      </c>
      <c r="E99" s="2">
        <v>0.54166666666666663</v>
      </c>
      <c r="F99" t="s">
        <v>237</v>
      </c>
      <c r="G99" t="s">
        <v>249</v>
      </c>
      <c r="H99">
        <v>2023</v>
      </c>
      <c r="I99" t="s">
        <v>247</v>
      </c>
    </row>
    <row r="100" spans="1:9" x14ac:dyDescent="0.25">
      <c r="A100" t="s">
        <v>343</v>
      </c>
      <c r="B100" t="s">
        <v>70</v>
      </c>
      <c r="C100" t="s">
        <v>208</v>
      </c>
      <c r="D100" s="1">
        <v>45111</v>
      </c>
      <c r="E100" s="2">
        <v>0.625</v>
      </c>
      <c r="F100" t="s">
        <v>240</v>
      </c>
      <c r="G100" t="s">
        <v>249</v>
      </c>
      <c r="H100">
        <v>2023</v>
      </c>
      <c r="I100" t="s">
        <v>238</v>
      </c>
    </row>
    <row r="101" spans="1:9" x14ac:dyDescent="0.25">
      <c r="A101" t="s">
        <v>344</v>
      </c>
      <c r="B101" t="s">
        <v>129</v>
      </c>
      <c r="C101" t="s">
        <v>206</v>
      </c>
      <c r="D101" s="1">
        <v>44987</v>
      </c>
      <c r="E101" s="2">
        <v>0.33333333333333331</v>
      </c>
      <c r="F101" t="s">
        <v>237</v>
      </c>
      <c r="G101" t="s">
        <v>226</v>
      </c>
      <c r="H101">
        <v>2023</v>
      </c>
      <c r="I101" t="s">
        <v>247</v>
      </c>
    </row>
    <row r="102" spans="1:9" x14ac:dyDescent="0.25">
      <c r="A102" t="s">
        <v>345</v>
      </c>
      <c r="B102" t="s">
        <v>147</v>
      </c>
      <c r="C102" t="s">
        <v>191</v>
      </c>
      <c r="D102" s="1">
        <v>45190</v>
      </c>
      <c r="E102" s="2">
        <v>0.55208333333333337</v>
      </c>
      <c r="F102" t="s">
        <v>225</v>
      </c>
      <c r="G102" t="s">
        <v>226</v>
      </c>
      <c r="H102">
        <v>2023</v>
      </c>
      <c r="I102" t="s">
        <v>235</v>
      </c>
    </row>
    <row r="103" spans="1:9" x14ac:dyDescent="0.25">
      <c r="A103" t="s">
        <v>346</v>
      </c>
      <c r="B103" t="s">
        <v>116</v>
      </c>
      <c r="C103" t="s">
        <v>204</v>
      </c>
      <c r="D103" s="1">
        <v>45224</v>
      </c>
      <c r="E103" s="2">
        <v>0.375</v>
      </c>
      <c r="F103" t="s">
        <v>240</v>
      </c>
      <c r="G103" t="s">
        <v>229</v>
      </c>
      <c r="H103">
        <v>2023</v>
      </c>
      <c r="I103" t="s">
        <v>272</v>
      </c>
    </row>
    <row r="104" spans="1:9" x14ac:dyDescent="0.25">
      <c r="A104" t="s">
        <v>347</v>
      </c>
      <c r="B104" t="s">
        <v>102</v>
      </c>
      <c r="C104" t="s">
        <v>204</v>
      </c>
      <c r="D104" s="1">
        <v>44950</v>
      </c>
      <c r="E104" s="2">
        <v>0.35416666666666669</v>
      </c>
      <c r="F104" t="s">
        <v>225</v>
      </c>
      <c r="G104" t="s">
        <v>233</v>
      </c>
      <c r="H104">
        <v>2023</v>
      </c>
      <c r="I104" t="s">
        <v>250</v>
      </c>
    </row>
    <row r="105" spans="1:9" x14ac:dyDescent="0.25">
      <c r="A105" t="s">
        <v>348</v>
      </c>
      <c r="B105" t="s">
        <v>147</v>
      </c>
      <c r="C105" t="s">
        <v>206</v>
      </c>
      <c r="D105" s="1">
        <v>45034</v>
      </c>
      <c r="E105" s="2">
        <v>0.36458333333333331</v>
      </c>
      <c r="F105" t="s">
        <v>246</v>
      </c>
      <c r="G105" t="s">
        <v>249</v>
      </c>
      <c r="H105">
        <v>2023</v>
      </c>
      <c r="I105" t="s">
        <v>242</v>
      </c>
    </row>
    <row r="106" spans="1:9" x14ac:dyDescent="0.25">
      <c r="A106" t="s">
        <v>349</v>
      </c>
      <c r="B106" t="s">
        <v>65</v>
      </c>
      <c r="C106" t="s">
        <v>199</v>
      </c>
      <c r="D106" s="1">
        <v>45152</v>
      </c>
      <c r="E106" s="2">
        <v>0.66666666666666663</v>
      </c>
      <c r="F106" t="s">
        <v>240</v>
      </c>
      <c r="G106" t="s">
        <v>229</v>
      </c>
      <c r="H106">
        <v>2023</v>
      </c>
      <c r="I106" t="s">
        <v>227</v>
      </c>
    </row>
    <row r="107" spans="1:9" x14ac:dyDescent="0.25">
      <c r="A107" t="s">
        <v>350</v>
      </c>
      <c r="B107" t="s">
        <v>149</v>
      </c>
      <c r="C107" t="s">
        <v>204</v>
      </c>
      <c r="D107" s="1">
        <v>45228</v>
      </c>
      <c r="E107" s="2">
        <v>0.46875</v>
      </c>
      <c r="F107" t="s">
        <v>225</v>
      </c>
      <c r="G107" t="s">
        <v>226</v>
      </c>
      <c r="H107">
        <v>2023</v>
      </c>
      <c r="I107" t="s">
        <v>272</v>
      </c>
    </row>
    <row r="108" spans="1:9" x14ac:dyDescent="0.25">
      <c r="A108" t="s">
        <v>351</v>
      </c>
      <c r="B108" t="s">
        <v>62</v>
      </c>
      <c r="C108" t="s">
        <v>208</v>
      </c>
      <c r="D108" s="1">
        <v>45033</v>
      </c>
      <c r="E108" s="2">
        <v>0.57291666666666663</v>
      </c>
      <c r="F108" t="s">
        <v>246</v>
      </c>
      <c r="G108" t="s">
        <v>249</v>
      </c>
      <c r="H108">
        <v>2023</v>
      </c>
      <c r="I108" t="s">
        <v>242</v>
      </c>
    </row>
    <row r="109" spans="1:9" x14ac:dyDescent="0.25">
      <c r="A109" t="s">
        <v>352</v>
      </c>
      <c r="B109" t="s">
        <v>113</v>
      </c>
      <c r="C109" t="s">
        <v>204</v>
      </c>
      <c r="D109" s="1">
        <v>45037</v>
      </c>
      <c r="E109" s="2">
        <v>0.625</v>
      </c>
      <c r="F109" t="s">
        <v>237</v>
      </c>
      <c r="G109" t="s">
        <v>233</v>
      </c>
      <c r="H109">
        <v>2023</v>
      </c>
      <c r="I109" t="s">
        <v>242</v>
      </c>
    </row>
    <row r="110" spans="1:9" x14ac:dyDescent="0.25">
      <c r="A110" t="s">
        <v>353</v>
      </c>
      <c r="B110" t="s">
        <v>145</v>
      </c>
      <c r="C110" t="s">
        <v>204</v>
      </c>
      <c r="D110" s="1">
        <v>45136</v>
      </c>
      <c r="E110" s="2">
        <v>0.58333333333333337</v>
      </c>
      <c r="F110" t="s">
        <v>246</v>
      </c>
      <c r="G110" t="s">
        <v>226</v>
      </c>
      <c r="H110">
        <v>2023</v>
      </c>
      <c r="I110" t="s">
        <v>238</v>
      </c>
    </row>
    <row r="111" spans="1:9" x14ac:dyDescent="0.25">
      <c r="A111" t="s">
        <v>354</v>
      </c>
      <c r="B111" t="s">
        <v>181</v>
      </c>
      <c r="C111" t="s">
        <v>204</v>
      </c>
      <c r="D111" s="1">
        <v>45126</v>
      </c>
      <c r="E111" s="2">
        <v>0.60416666666666663</v>
      </c>
      <c r="F111" t="s">
        <v>232</v>
      </c>
      <c r="G111" t="s">
        <v>226</v>
      </c>
      <c r="H111">
        <v>2023</v>
      </c>
      <c r="I111" t="s">
        <v>238</v>
      </c>
    </row>
    <row r="112" spans="1:9" x14ac:dyDescent="0.25">
      <c r="A112" t="s">
        <v>355</v>
      </c>
      <c r="B112" t="s">
        <v>145</v>
      </c>
      <c r="C112" t="s">
        <v>215</v>
      </c>
      <c r="D112" s="1">
        <v>45068</v>
      </c>
      <c r="E112" s="2">
        <v>0.64583333333333337</v>
      </c>
      <c r="F112" t="s">
        <v>246</v>
      </c>
      <c r="G112" t="s">
        <v>226</v>
      </c>
      <c r="H112">
        <v>2023</v>
      </c>
      <c r="I112" t="s">
        <v>244</v>
      </c>
    </row>
    <row r="113" spans="1:9" x14ac:dyDescent="0.25">
      <c r="A113" t="s">
        <v>356</v>
      </c>
      <c r="B113" t="s">
        <v>178</v>
      </c>
      <c r="C113" t="s">
        <v>215</v>
      </c>
      <c r="D113" s="1">
        <v>44937</v>
      </c>
      <c r="E113" s="2">
        <v>0.33333333333333331</v>
      </c>
      <c r="F113" t="s">
        <v>246</v>
      </c>
      <c r="G113" t="s">
        <v>229</v>
      </c>
      <c r="H113">
        <v>2023</v>
      </c>
      <c r="I113" t="s">
        <v>250</v>
      </c>
    </row>
    <row r="114" spans="1:9" x14ac:dyDescent="0.25">
      <c r="A114" t="s">
        <v>357</v>
      </c>
      <c r="B114" t="s">
        <v>147</v>
      </c>
      <c r="C114" t="s">
        <v>199</v>
      </c>
      <c r="D114" s="1">
        <v>45254</v>
      </c>
      <c r="E114" s="2">
        <v>0.64583333333333337</v>
      </c>
      <c r="F114" t="s">
        <v>232</v>
      </c>
      <c r="G114" t="s">
        <v>233</v>
      </c>
      <c r="H114">
        <v>2023</v>
      </c>
      <c r="I114" t="s">
        <v>252</v>
      </c>
    </row>
    <row r="115" spans="1:9" x14ac:dyDescent="0.25">
      <c r="A115" t="s">
        <v>358</v>
      </c>
      <c r="B115" t="s">
        <v>91</v>
      </c>
      <c r="C115" t="s">
        <v>191</v>
      </c>
      <c r="D115" s="1">
        <v>45146</v>
      </c>
      <c r="E115" s="2">
        <v>0.375</v>
      </c>
      <c r="F115" t="s">
        <v>225</v>
      </c>
      <c r="G115" t="s">
        <v>249</v>
      </c>
      <c r="H115">
        <v>2023</v>
      </c>
      <c r="I115" t="s">
        <v>227</v>
      </c>
    </row>
    <row r="116" spans="1:9" x14ac:dyDescent="0.25">
      <c r="A116" t="s">
        <v>359</v>
      </c>
      <c r="B116" t="s">
        <v>181</v>
      </c>
      <c r="C116" t="s">
        <v>204</v>
      </c>
      <c r="D116" s="1">
        <v>45224</v>
      </c>
      <c r="E116" s="2">
        <v>0.4375</v>
      </c>
      <c r="F116" t="s">
        <v>225</v>
      </c>
      <c r="G116" t="s">
        <v>229</v>
      </c>
      <c r="H116">
        <v>2023</v>
      </c>
      <c r="I116" t="s">
        <v>272</v>
      </c>
    </row>
    <row r="117" spans="1:9" x14ac:dyDescent="0.25">
      <c r="A117" t="s">
        <v>360</v>
      </c>
      <c r="B117" t="s">
        <v>154</v>
      </c>
      <c r="C117" t="s">
        <v>213</v>
      </c>
      <c r="D117" s="1">
        <v>45114</v>
      </c>
      <c r="E117" s="2">
        <v>0.38541666666666669</v>
      </c>
      <c r="F117" t="s">
        <v>246</v>
      </c>
      <c r="G117" t="s">
        <v>229</v>
      </c>
      <c r="H117">
        <v>2023</v>
      </c>
      <c r="I117" t="s">
        <v>238</v>
      </c>
    </row>
    <row r="118" spans="1:9" x14ac:dyDescent="0.25">
      <c r="A118" t="s">
        <v>361</v>
      </c>
      <c r="B118" t="s">
        <v>138</v>
      </c>
      <c r="C118" t="s">
        <v>191</v>
      </c>
      <c r="D118" s="1">
        <v>45097</v>
      </c>
      <c r="E118" s="2">
        <v>0.57291666666666663</v>
      </c>
      <c r="F118" t="s">
        <v>232</v>
      </c>
      <c r="G118" t="s">
        <v>229</v>
      </c>
      <c r="H118">
        <v>2023</v>
      </c>
      <c r="I118" t="s">
        <v>230</v>
      </c>
    </row>
    <row r="119" spans="1:9" x14ac:dyDescent="0.25">
      <c r="A119" t="s">
        <v>362</v>
      </c>
      <c r="B119" t="s">
        <v>113</v>
      </c>
      <c r="C119" t="s">
        <v>199</v>
      </c>
      <c r="D119" s="1">
        <v>45147</v>
      </c>
      <c r="E119" s="2">
        <v>0.34375</v>
      </c>
      <c r="F119" t="s">
        <v>232</v>
      </c>
      <c r="G119" t="s">
        <v>226</v>
      </c>
      <c r="H119">
        <v>2023</v>
      </c>
      <c r="I119" t="s">
        <v>227</v>
      </c>
    </row>
    <row r="120" spans="1:9" x14ac:dyDescent="0.25">
      <c r="A120" t="s">
        <v>363</v>
      </c>
      <c r="B120" t="s">
        <v>110</v>
      </c>
      <c r="C120" t="s">
        <v>201</v>
      </c>
      <c r="D120" s="1">
        <v>45278</v>
      </c>
      <c r="E120" s="2">
        <v>0.5625</v>
      </c>
      <c r="F120" t="s">
        <v>237</v>
      </c>
      <c r="G120" t="s">
        <v>233</v>
      </c>
      <c r="H120">
        <v>2023</v>
      </c>
      <c r="I120" t="s">
        <v>263</v>
      </c>
    </row>
    <row r="121" spans="1:9" x14ac:dyDescent="0.25">
      <c r="A121" t="s">
        <v>364</v>
      </c>
      <c r="B121" t="s">
        <v>138</v>
      </c>
      <c r="C121" t="s">
        <v>191</v>
      </c>
      <c r="D121" s="1">
        <v>45268</v>
      </c>
      <c r="E121" s="2">
        <v>0.45833333333333331</v>
      </c>
      <c r="F121" t="s">
        <v>225</v>
      </c>
      <c r="G121" t="s">
        <v>229</v>
      </c>
      <c r="H121">
        <v>2023</v>
      </c>
      <c r="I121" t="s">
        <v>263</v>
      </c>
    </row>
    <row r="122" spans="1:9" x14ac:dyDescent="0.25">
      <c r="A122" t="s">
        <v>365</v>
      </c>
      <c r="B122" t="s">
        <v>149</v>
      </c>
      <c r="C122" t="s">
        <v>191</v>
      </c>
      <c r="D122" s="1">
        <v>45023</v>
      </c>
      <c r="E122" s="2">
        <v>0.625</v>
      </c>
      <c r="F122" t="s">
        <v>240</v>
      </c>
      <c r="G122" t="s">
        <v>249</v>
      </c>
      <c r="H122">
        <v>2023</v>
      </c>
      <c r="I122" t="s">
        <v>242</v>
      </c>
    </row>
    <row r="123" spans="1:9" x14ac:dyDescent="0.25">
      <c r="A123" t="s">
        <v>366</v>
      </c>
      <c r="B123" t="s">
        <v>73</v>
      </c>
      <c r="C123" t="s">
        <v>211</v>
      </c>
      <c r="D123" s="1">
        <v>45118</v>
      </c>
      <c r="E123" s="2">
        <v>0.60416666666666663</v>
      </c>
      <c r="F123" t="s">
        <v>225</v>
      </c>
      <c r="G123" t="s">
        <v>233</v>
      </c>
      <c r="H123">
        <v>2023</v>
      </c>
      <c r="I123" t="s">
        <v>238</v>
      </c>
    </row>
    <row r="124" spans="1:9" x14ac:dyDescent="0.25">
      <c r="A124" t="s">
        <v>367</v>
      </c>
      <c r="B124" t="s">
        <v>181</v>
      </c>
      <c r="C124" t="s">
        <v>195</v>
      </c>
      <c r="D124" s="1">
        <v>44985</v>
      </c>
      <c r="E124" s="2">
        <v>0.44791666666666669</v>
      </c>
      <c r="F124" t="s">
        <v>225</v>
      </c>
      <c r="G124" t="s">
        <v>249</v>
      </c>
      <c r="H124">
        <v>2023</v>
      </c>
      <c r="I124" t="s">
        <v>261</v>
      </c>
    </row>
    <row r="125" spans="1:9" x14ac:dyDescent="0.25">
      <c r="A125" t="s">
        <v>368</v>
      </c>
      <c r="B125" t="s">
        <v>75</v>
      </c>
      <c r="C125" t="s">
        <v>211</v>
      </c>
      <c r="D125" s="1">
        <v>45001</v>
      </c>
      <c r="E125" s="2">
        <v>0.71875</v>
      </c>
      <c r="F125" t="s">
        <v>237</v>
      </c>
      <c r="G125" t="s">
        <v>233</v>
      </c>
      <c r="H125">
        <v>2023</v>
      </c>
      <c r="I125" t="s">
        <v>247</v>
      </c>
    </row>
    <row r="126" spans="1:9" x14ac:dyDescent="0.25">
      <c r="A126" t="s">
        <v>369</v>
      </c>
      <c r="B126" t="s">
        <v>110</v>
      </c>
      <c r="C126" t="s">
        <v>208</v>
      </c>
      <c r="D126" s="1">
        <v>44975</v>
      </c>
      <c r="E126" s="2">
        <v>0.42708333333333331</v>
      </c>
      <c r="F126" t="s">
        <v>240</v>
      </c>
      <c r="G126" t="s">
        <v>249</v>
      </c>
      <c r="H126">
        <v>2023</v>
      </c>
      <c r="I126" t="s">
        <v>261</v>
      </c>
    </row>
    <row r="127" spans="1:9" x14ac:dyDescent="0.25">
      <c r="A127" t="s">
        <v>370</v>
      </c>
      <c r="B127" t="s">
        <v>116</v>
      </c>
      <c r="C127" t="s">
        <v>215</v>
      </c>
      <c r="D127" s="1">
        <v>45232</v>
      </c>
      <c r="E127" s="2">
        <v>0.40625</v>
      </c>
      <c r="F127" t="s">
        <v>237</v>
      </c>
      <c r="G127" t="s">
        <v>226</v>
      </c>
      <c r="H127">
        <v>2023</v>
      </c>
      <c r="I127" t="s">
        <v>252</v>
      </c>
    </row>
    <row r="128" spans="1:9" x14ac:dyDescent="0.25">
      <c r="A128" t="s">
        <v>371</v>
      </c>
      <c r="B128" t="s">
        <v>145</v>
      </c>
      <c r="C128" t="s">
        <v>215</v>
      </c>
      <c r="D128" s="1">
        <v>45243</v>
      </c>
      <c r="E128" s="2">
        <v>0.35416666666666669</v>
      </c>
      <c r="F128" t="s">
        <v>240</v>
      </c>
      <c r="G128" t="s">
        <v>229</v>
      </c>
      <c r="H128">
        <v>2023</v>
      </c>
      <c r="I128" t="s">
        <v>252</v>
      </c>
    </row>
    <row r="129" spans="1:9" x14ac:dyDescent="0.25">
      <c r="A129" t="s">
        <v>372</v>
      </c>
      <c r="B129" t="s">
        <v>160</v>
      </c>
      <c r="C129" t="s">
        <v>195</v>
      </c>
      <c r="D129" s="1">
        <v>45031</v>
      </c>
      <c r="E129" s="2">
        <v>0.61458333333333337</v>
      </c>
      <c r="F129" t="s">
        <v>246</v>
      </c>
      <c r="G129" t="s">
        <v>249</v>
      </c>
      <c r="H129">
        <v>2023</v>
      </c>
      <c r="I129" t="s">
        <v>242</v>
      </c>
    </row>
    <row r="130" spans="1:9" x14ac:dyDescent="0.25">
      <c r="A130" t="s">
        <v>373</v>
      </c>
      <c r="B130" t="s">
        <v>132</v>
      </c>
      <c r="C130" t="s">
        <v>206</v>
      </c>
      <c r="D130" s="1">
        <v>45163</v>
      </c>
      <c r="E130" s="2">
        <v>0.39583333333333331</v>
      </c>
      <c r="F130" t="s">
        <v>240</v>
      </c>
      <c r="G130" t="s">
        <v>233</v>
      </c>
      <c r="H130">
        <v>2023</v>
      </c>
      <c r="I130" t="s">
        <v>227</v>
      </c>
    </row>
    <row r="131" spans="1:9" x14ac:dyDescent="0.25">
      <c r="A131" t="s">
        <v>374</v>
      </c>
      <c r="B131" t="s">
        <v>87</v>
      </c>
      <c r="C131" t="s">
        <v>206</v>
      </c>
      <c r="D131" s="1">
        <v>44980</v>
      </c>
      <c r="E131" s="2">
        <v>0.625</v>
      </c>
      <c r="F131" t="s">
        <v>237</v>
      </c>
      <c r="G131" t="s">
        <v>229</v>
      </c>
      <c r="H131">
        <v>2023</v>
      </c>
      <c r="I131" t="s">
        <v>261</v>
      </c>
    </row>
    <row r="132" spans="1:9" x14ac:dyDescent="0.25">
      <c r="A132" t="s">
        <v>375</v>
      </c>
      <c r="B132" t="s">
        <v>181</v>
      </c>
      <c r="C132" t="s">
        <v>199</v>
      </c>
      <c r="D132" s="1">
        <v>45057</v>
      </c>
      <c r="E132" s="2">
        <v>0.6875</v>
      </c>
      <c r="F132" t="s">
        <v>225</v>
      </c>
      <c r="G132" t="s">
        <v>229</v>
      </c>
      <c r="H132">
        <v>2023</v>
      </c>
      <c r="I132" t="s">
        <v>244</v>
      </c>
    </row>
    <row r="133" spans="1:9" x14ac:dyDescent="0.25">
      <c r="A133" t="s">
        <v>376</v>
      </c>
      <c r="B133" t="s">
        <v>98</v>
      </c>
      <c r="C133" t="s">
        <v>195</v>
      </c>
      <c r="D133" s="1">
        <v>45133</v>
      </c>
      <c r="E133" s="2">
        <v>0.44791666666666669</v>
      </c>
      <c r="F133" t="s">
        <v>240</v>
      </c>
      <c r="G133" t="s">
        <v>233</v>
      </c>
      <c r="H133">
        <v>2023</v>
      </c>
      <c r="I133" t="s">
        <v>238</v>
      </c>
    </row>
    <row r="134" spans="1:9" x14ac:dyDescent="0.25">
      <c r="A134" t="s">
        <v>377</v>
      </c>
      <c r="B134" t="s">
        <v>178</v>
      </c>
      <c r="C134" t="s">
        <v>191</v>
      </c>
      <c r="D134" s="1">
        <v>45008</v>
      </c>
      <c r="E134" s="2">
        <v>0.60416666666666663</v>
      </c>
      <c r="F134" t="s">
        <v>240</v>
      </c>
      <c r="G134" t="s">
        <v>249</v>
      </c>
      <c r="H134">
        <v>2023</v>
      </c>
      <c r="I134" t="s">
        <v>247</v>
      </c>
    </row>
    <row r="135" spans="1:9" x14ac:dyDescent="0.25">
      <c r="A135" t="s">
        <v>378</v>
      </c>
      <c r="B135" t="s">
        <v>116</v>
      </c>
      <c r="C135" t="s">
        <v>206</v>
      </c>
      <c r="D135" s="1">
        <v>45216</v>
      </c>
      <c r="E135" s="2">
        <v>0.63541666666666663</v>
      </c>
      <c r="F135" t="s">
        <v>232</v>
      </c>
      <c r="G135" t="s">
        <v>226</v>
      </c>
      <c r="H135">
        <v>2023</v>
      </c>
      <c r="I135" t="s">
        <v>272</v>
      </c>
    </row>
    <row r="136" spans="1:9" x14ac:dyDescent="0.25">
      <c r="A136" t="s">
        <v>379</v>
      </c>
      <c r="B136" t="s">
        <v>105</v>
      </c>
      <c r="C136" t="s">
        <v>204</v>
      </c>
      <c r="D136" s="1">
        <v>45178</v>
      </c>
      <c r="E136" s="2">
        <v>0.6875</v>
      </c>
      <c r="F136" t="s">
        <v>225</v>
      </c>
      <c r="G136" t="s">
        <v>226</v>
      </c>
      <c r="H136">
        <v>2023</v>
      </c>
      <c r="I136" t="s">
        <v>235</v>
      </c>
    </row>
    <row r="137" spans="1:9" x14ac:dyDescent="0.25">
      <c r="A137" t="s">
        <v>380</v>
      </c>
      <c r="B137" t="s">
        <v>75</v>
      </c>
      <c r="C137" t="s">
        <v>213</v>
      </c>
      <c r="D137" s="1">
        <v>45059</v>
      </c>
      <c r="E137" s="2">
        <v>0.52083333333333337</v>
      </c>
      <c r="F137" t="s">
        <v>246</v>
      </c>
      <c r="G137" t="s">
        <v>249</v>
      </c>
      <c r="H137">
        <v>2023</v>
      </c>
      <c r="I137" t="s">
        <v>244</v>
      </c>
    </row>
    <row r="138" spans="1:9" x14ac:dyDescent="0.25">
      <c r="A138" t="s">
        <v>381</v>
      </c>
      <c r="B138" t="s">
        <v>94</v>
      </c>
      <c r="C138" t="s">
        <v>191</v>
      </c>
      <c r="D138" s="1">
        <v>45224</v>
      </c>
      <c r="E138" s="2">
        <v>0.41666666666666669</v>
      </c>
      <c r="F138" t="s">
        <v>237</v>
      </c>
      <c r="G138" t="s">
        <v>229</v>
      </c>
      <c r="H138">
        <v>2023</v>
      </c>
      <c r="I138" t="s">
        <v>272</v>
      </c>
    </row>
    <row r="139" spans="1:9" x14ac:dyDescent="0.25">
      <c r="A139" t="s">
        <v>382</v>
      </c>
      <c r="B139" t="s">
        <v>181</v>
      </c>
      <c r="C139" t="s">
        <v>208</v>
      </c>
      <c r="D139" s="1">
        <v>45286</v>
      </c>
      <c r="E139" s="2">
        <v>0.63541666666666663</v>
      </c>
      <c r="F139" t="s">
        <v>246</v>
      </c>
      <c r="G139" t="s">
        <v>229</v>
      </c>
      <c r="H139">
        <v>2023</v>
      </c>
      <c r="I139" t="s">
        <v>263</v>
      </c>
    </row>
    <row r="140" spans="1:9" x14ac:dyDescent="0.25">
      <c r="A140" t="s">
        <v>383</v>
      </c>
      <c r="B140" t="s">
        <v>147</v>
      </c>
      <c r="C140" t="s">
        <v>204</v>
      </c>
      <c r="D140" s="1">
        <v>45209</v>
      </c>
      <c r="E140" s="2">
        <v>0.44791666666666669</v>
      </c>
      <c r="F140" t="s">
        <v>225</v>
      </c>
      <c r="G140" t="s">
        <v>229</v>
      </c>
      <c r="H140">
        <v>2023</v>
      </c>
      <c r="I140" t="s">
        <v>272</v>
      </c>
    </row>
    <row r="141" spans="1:9" x14ac:dyDescent="0.25">
      <c r="A141" t="s">
        <v>384</v>
      </c>
      <c r="B141" t="s">
        <v>73</v>
      </c>
      <c r="C141" t="s">
        <v>204</v>
      </c>
      <c r="D141" s="1">
        <v>44962</v>
      </c>
      <c r="E141" s="2">
        <v>0.63541666666666663</v>
      </c>
      <c r="F141" t="s">
        <v>240</v>
      </c>
      <c r="G141" t="s">
        <v>229</v>
      </c>
      <c r="H141">
        <v>2023</v>
      </c>
      <c r="I141" t="s">
        <v>261</v>
      </c>
    </row>
    <row r="142" spans="1:9" x14ac:dyDescent="0.25">
      <c r="A142" t="s">
        <v>385</v>
      </c>
      <c r="B142" t="s">
        <v>160</v>
      </c>
      <c r="C142" t="s">
        <v>195</v>
      </c>
      <c r="D142" s="1">
        <v>45092</v>
      </c>
      <c r="E142" s="2">
        <v>0.63541666666666663</v>
      </c>
      <c r="F142" t="s">
        <v>240</v>
      </c>
      <c r="G142" t="s">
        <v>249</v>
      </c>
      <c r="H142">
        <v>2023</v>
      </c>
      <c r="I142" t="s">
        <v>230</v>
      </c>
    </row>
    <row r="143" spans="1:9" x14ac:dyDescent="0.25">
      <c r="A143" t="s">
        <v>386</v>
      </c>
      <c r="B143" t="s">
        <v>94</v>
      </c>
      <c r="C143" t="s">
        <v>199</v>
      </c>
      <c r="D143" s="1">
        <v>45231</v>
      </c>
      <c r="E143" s="2">
        <v>0.48958333333333331</v>
      </c>
      <c r="F143" t="s">
        <v>225</v>
      </c>
      <c r="G143" t="s">
        <v>229</v>
      </c>
      <c r="H143">
        <v>2023</v>
      </c>
      <c r="I143" t="s">
        <v>252</v>
      </c>
    </row>
    <row r="144" spans="1:9" x14ac:dyDescent="0.25">
      <c r="A144" t="s">
        <v>387</v>
      </c>
      <c r="B144" t="s">
        <v>73</v>
      </c>
      <c r="C144" t="s">
        <v>208</v>
      </c>
      <c r="D144" s="1">
        <v>45190</v>
      </c>
      <c r="E144" s="2">
        <v>0.51041666666666663</v>
      </c>
      <c r="F144" t="s">
        <v>240</v>
      </c>
      <c r="G144" t="s">
        <v>233</v>
      </c>
      <c r="H144">
        <v>2023</v>
      </c>
      <c r="I144" t="s">
        <v>235</v>
      </c>
    </row>
    <row r="145" spans="1:9" x14ac:dyDescent="0.25">
      <c r="A145" t="s">
        <v>388</v>
      </c>
      <c r="B145" t="s">
        <v>62</v>
      </c>
      <c r="C145" t="s">
        <v>206</v>
      </c>
      <c r="D145" s="1">
        <v>45154</v>
      </c>
      <c r="E145" s="2">
        <v>0.51041666666666663</v>
      </c>
      <c r="F145" t="s">
        <v>240</v>
      </c>
      <c r="G145" t="s">
        <v>229</v>
      </c>
      <c r="H145">
        <v>2023</v>
      </c>
      <c r="I145" t="s">
        <v>227</v>
      </c>
    </row>
    <row r="146" spans="1:9" x14ac:dyDescent="0.25">
      <c r="A146" t="s">
        <v>389</v>
      </c>
      <c r="B146" t="s">
        <v>53</v>
      </c>
      <c r="C146" t="s">
        <v>195</v>
      </c>
      <c r="D146" s="1">
        <v>45241</v>
      </c>
      <c r="E146" s="2">
        <v>0.61458333333333337</v>
      </c>
      <c r="F146" t="s">
        <v>240</v>
      </c>
      <c r="G146" t="s">
        <v>226</v>
      </c>
      <c r="H146">
        <v>2023</v>
      </c>
      <c r="I146" t="s">
        <v>252</v>
      </c>
    </row>
    <row r="147" spans="1:9" x14ac:dyDescent="0.25">
      <c r="A147" t="s">
        <v>390</v>
      </c>
      <c r="B147" t="s">
        <v>126</v>
      </c>
      <c r="C147" t="s">
        <v>206</v>
      </c>
      <c r="D147" s="1">
        <v>44931</v>
      </c>
      <c r="E147" s="2">
        <v>0.39583333333333331</v>
      </c>
      <c r="F147" t="s">
        <v>237</v>
      </c>
      <c r="G147" t="s">
        <v>229</v>
      </c>
      <c r="H147">
        <v>2023</v>
      </c>
      <c r="I147" t="s">
        <v>250</v>
      </c>
    </row>
    <row r="148" spans="1:9" x14ac:dyDescent="0.25">
      <c r="A148" t="s">
        <v>391</v>
      </c>
      <c r="B148" t="s">
        <v>78</v>
      </c>
      <c r="C148" t="s">
        <v>195</v>
      </c>
      <c r="D148" s="1">
        <v>45243</v>
      </c>
      <c r="E148" s="2">
        <v>0.72916666666666663</v>
      </c>
      <c r="F148" t="s">
        <v>237</v>
      </c>
      <c r="G148" t="s">
        <v>249</v>
      </c>
      <c r="H148">
        <v>2023</v>
      </c>
      <c r="I148" t="s">
        <v>252</v>
      </c>
    </row>
    <row r="149" spans="1:9" x14ac:dyDescent="0.25">
      <c r="A149" t="s">
        <v>392</v>
      </c>
      <c r="B149" t="s">
        <v>135</v>
      </c>
      <c r="C149" t="s">
        <v>195</v>
      </c>
      <c r="D149" s="1">
        <v>45266</v>
      </c>
      <c r="E149" s="2">
        <v>0.35416666666666669</v>
      </c>
      <c r="F149" t="s">
        <v>232</v>
      </c>
      <c r="G149" t="s">
        <v>226</v>
      </c>
      <c r="H149">
        <v>2023</v>
      </c>
      <c r="I149" t="s">
        <v>263</v>
      </c>
    </row>
    <row r="150" spans="1:9" x14ac:dyDescent="0.25">
      <c r="A150" t="s">
        <v>393</v>
      </c>
      <c r="B150" t="s">
        <v>94</v>
      </c>
      <c r="C150" t="s">
        <v>195</v>
      </c>
      <c r="D150" s="1">
        <v>45133</v>
      </c>
      <c r="E150" s="2">
        <v>0.52083333333333337</v>
      </c>
      <c r="F150" t="s">
        <v>246</v>
      </c>
      <c r="G150" t="s">
        <v>249</v>
      </c>
      <c r="H150">
        <v>2023</v>
      </c>
      <c r="I150" t="s">
        <v>238</v>
      </c>
    </row>
    <row r="151" spans="1:9" x14ac:dyDescent="0.25">
      <c r="A151" t="s">
        <v>394</v>
      </c>
      <c r="B151" t="s">
        <v>176</v>
      </c>
      <c r="C151" t="s">
        <v>199</v>
      </c>
      <c r="D151" s="1">
        <v>45154</v>
      </c>
      <c r="E151" s="2">
        <v>0.44791666666666669</v>
      </c>
      <c r="F151" t="s">
        <v>225</v>
      </c>
      <c r="G151" t="s">
        <v>249</v>
      </c>
      <c r="H151">
        <v>2023</v>
      </c>
      <c r="I151" t="s">
        <v>227</v>
      </c>
    </row>
    <row r="152" spans="1:9" x14ac:dyDescent="0.25">
      <c r="A152" t="s">
        <v>395</v>
      </c>
      <c r="B152" t="s">
        <v>85</v>
      </c>
      <c r="C152" t="s">
        <v>195</v>
      </c>
      <c r="D152" s="1">
        <v>44954</v>
      </c>
      <c r="E152" s="2">
        <v>0.38541666666666669</v>
      </c>
      <c r="F152" t="s">
        <v>225</v>
      </c>
      <c r="G152" t="s">
        <v>226</v>
      </c>
      <c r="H152">
        <v>2023</v>
      </c>
      <c r="I152" t="s">
        <v>250</v>
      </c>
    </row>
    <row r="153" spans="1:9" x14ac:dyDescent="0.25">
      <c r="A153" t="s">
        <v>396</v>
      </c>
      <c r="B153" t="s">
        <v>43</v>
      </c>
      <c r="C153" t="s">
        <v>201</v>
      </c>
      <c r="D153" s="1">
        <v>45030</v>
      </c>
      <c r="E153" s="2">
        <v>0.35416666666666669</v>
      </c>
      <c r="F153" t="s">
        <v>225</v>
      </c>
      <c r="G153" t="s">
        <v>249</v>
      </c>
      <c r="H153">
        <v>2023</v>
      </c>
      <c r="I153" t="s">
        <v>242</v>
      </c>
    </row>
    <row r="154" spans="1:9" x14ac:dyDescent="0.25">
      <c r="A154" t="s">
        <v>397</v>
      </c>
      <c r="B154" t="s">
        <v>145</v>
      </c>
      <c r="C154" t="s">
        <v>213</v>
      </c>
      <c r="D154" s="1">
        <v>45115</v>
      </c>
      <c r="E154" s="2">
        <v>0.53125</v>
      </c>
      <c r="F154" t="s">
        <v>232</v>
      </c>
      <c r="G154" t="s">
        <v>249</v>
      </c>
      <c r="H154">
        <v>2023</v>
      </c>
      <c r="I154" t="s">
        <v>238</v>
      </c>
    </row>
    <row r="155" spans="1:9" x14ac:dyDescent="0.25">
      <c r="A155" t="s">
        <v>398</v>
      </c>
      <c r="B155" t="s">
        <v>73</v>
      </c>
      <c r="C155" t="s">
        <v>206</v>
      </c>
      <c r="D155" s="1">
        <v>44991</v>
      </c>
      <c r="E155" s="2">
        <v>0.72916666666666663</v>
      </c>
      <c r="F155" t="s">
        <v>237</v>
      </c>
      <c r="G155" t="s">
        <v>229</v>
      </c>
      <c r="H155">
        <v>2023</v>
      </c>
      <c r="I155" t="s">
        <v>247</v>
      </c>
    </row>
    <row r="156" spans="1:9" x14ac:dyDescent="0.25">
      <c r="A156" t="s">
        <v>399</v>
      </c>
      <c r="B156" t="s">
        <v>116</v>
      </c>
      <c r="C156" t="s">
        <v>191</v>
      </c>
      <c r="D156" s="1">
        <v>44929</v>
      </c>
      <c r="E156" s="2">
        <v>0.39583333333333331</v>
      </c>
      <c r="F156" t="s">
        <v>232</v>
      </c>
      <c r="G156" t="s">
        <v>233</v>
      </c>
      <c r="H156">
        <v>2023</v>
      </c>
      <c r="I156" t="s">
        <v>250</v>
      </c>
    </row>
    <row r="157" spans="1:9" x14ac:dyDescent="0.25">
      <c r="A157" t="s">
        <v>400</v>
      </c>
      <c r="B157" t="s">
        <v>102</v>
      </c>
      <c r="C157" t="s">
        <v>211</v>
      </c>
      <c r="D157" s="1">
        <v>45252</v>
      </c>
      <c r="E157" s="2">
        <v>0.60416666666666663</v>
      </c>
      <c r="F157" t="s">
        <v>225</v>
      </c>
      <c r="G157" t="s">
        <v>249</v>
      </c>
      <c r="H157">
        <v>2023</v>
      </c>
      <c r="I157" t="s">
        <v>252</v>
      </c>
    </row>
    <row r="158" spans="1:9" x14ac:dyDescent="0.25">
      <c r="A158" t="s">
        <v>401</v>
      </c>
      <c r="B158" t="s">
        <v>147</v>
      </c>
      <c r="C158" t="s">
        <v>208</v>
      </c>
      <c r="D158" s="1">
        <v>45058</v>
      </c>
      <c r="E158" s="2">
        <v>0.45833333333333331</v>
      </c>
      <c r="F158" t="s">
        <v>246</v>
      </c>
      <c r="G158" t="s">
        <v>249</v>
      </c>
      <c r="H158">
        <v>2023</v>
      </c>
      <c r="I158" t="s">
        <v>244</v>
      </c>
    </row>
    <row r="159" spans="1:9" x14ac:dyDescent="0.25">
      <c r="A159" t="s">
        <v>402</v>
      </c>
      <c r="B159" t="s">
        <v>110</v>
      </c>
      <c r="C159" t="s">
        <v>215</v>
      </c>
      <c r="D159" s="1">
        <v>45119</v>
      </c>
      <c r="E159" s="2">
        <v>0.51041666666666663</v>
      </c>
      <c r="F159" t="s">
        <v>240</v>
      </c>
      <c r="G159" t="s">
        <v>249</v>
      </c>
      <c r="H159">
        <v>2023</v>
      </c>
      <c r="I159" t="s">
        <v>238</v>
      </c>
    </row>
    <row r="160" spans="1:9" x14ac:dyDescent="0.25">
      <c r="A160" t="s">
        <v>403</v>
      </c>
      <c r="B160" t="s">
        <v>85</v>
      </c>
      <c r="C160" t="s">
        <v>199</v>
      </c>
      <c r="D160" s="1">
        <v>45024</v>
      </c>
      <c r="E160" s="2">
        <v>0.67708333333333337</v>
      </c>
      <c r="F160" t="s">
        <v>237</v>
      </c>
      <c r="G160" t="s">
        <v>229</v>
      </c>
      <c r="H160">
        <v>2023</v>
      </c>
      <c r="I160" t="s">
        <v>242</v>
      </c>
    </row>
    <row r="161" spans="1:9" x14ac:dyDescent="0.25">
      <c r="A161" t="s">
        <v>404</v>
      </c>
      <c r="B161" t="s">
        <v>154</v>
      </c>
      <c r="C161" t="s">
        <v>191</v>
      </c>
      <c r="D161" s="1">
        <v>45277</v>
      </c>
      <c r="E161" s="2">
        <v>0.53125</v>
      </c>
      <c r="F161" t="s">
        <v>237</v>
      </c>
      <c r="G161" t="s">
        <v>233</v>
      </c>
      <c r="H161">
        <v>2023</v>
      </c>
      <c r="I161" t="s">
        <v>263</v>
      </c>
    </row>
    <row r="162" spans="1:9" x14ac:dyDescent="0.25">
      <c r="A162" t="s">
        <v>405</v>
      </c>
      <c r="B162" t="s">
        <v>171</v>
      </c>
      <c r="C162" t="s">
        <v>204</v>
      </c>
      <c r="D162" s="1">
        <v>45094</v>
      </c>
      <c r="E162" s="2">
        <v>0.44791666666666669</v>
      </c>
      <c r="F162" t="s">
        <v>232</v>
      </c>
      <c r="G162" t="s">
        <v>226</v>
      </c>
      <c r="H162">
        <v>2023</v>
      </c>
      <c r="I162" t="s">
        <v>230</v>
      </c>
    </row>
    <row r="163" spans="1:9" x14ac:dyDescent="0.25">
      <c r="A163" t="s">
        <v>406</v>
      </c>
      <c r="B163" t="s">
        <v>162</v>
      </c>
      <c r="C163" t="s">
        <v>201</v>
      </c>
      <c r="D163" s="1">
        <v>44927</v>
      </c>
      <c r="E163" s="2">
        <v>0.71875</v>
      </c>
      <c r="F163" t="s">
        <v>237</v>
      </c>
      <c r="G163" t="s">
        <v>229</v>
      </c>
      <c r="H163">
        <v>2023</v>
      </c>
      <c r="I163" t="s">
        <v>250</v>
      </c>
    </row>
    <row r="164" spans="1:9" x14ac:dyDescent="0.25">
      <c r="A164" t="s">
        <v>407</v>
      </c>
      <c r="B164" t="s">
        <v>154</v>
      </c>
      <c r="C164" t="s">
        <v>215</v>
      </c>
      <c r="D164" s="1">
        <v>45104</v>
      </c>
      <c r="E164" s="2">
        <v>0.625</v>
      </c>
      <c r="F164" t="s">
        <v>225</v>
      </c>
      <c r="G164" t="s">
        <v>229</v>
      </c>
      <c r="H164">
        <v>2023</v>
      </c>
      <c r="I164" t="s">
        <v>230</v>
      </c>
    </row>
    <row r="165" spans="1:9" x14ac:dyDescent="0.25">
      <c r="A165" t="s">
        <v>408</v>
      </c>
      <c r="B165" t="s">
        <v>78</v>
      </c>
      <c r="C165" t="s">
        <v>211</v>
      </c>
      <c r="D165" s="1">
        <v>45135</v>
      </c>
      <c r="E165" s="2">
        <v>0.71875</v>
      </c>
      <c r="F165" t="s">
        <v>225</v>
      </c>
      <c r="G165" t="s">
        <v>233</v>
      </c>
      <c r="H165">
        <v>2023</v>
      </c>
      <c r="I165" t="s">
        <v>238</v>
      </c>
    </row>
    <row r="166" spans="1:9" x14ac:dyDescent="0.25">
      <c r="A166" t="s">
        <v>409</v>
      </c>
      <c r="B166" t="s">
        <v>135</v>
      </c>
      <c r="C166" t="s">
        <v>191</v>
      </c>
      <c r="D166" s="1">
        <v>45020</v>
      </c>
      <c r="E166" s="2">
        <v>0.64583333333333337</v>
      </c>
      <c r="F166" t="s">
        <v>232</v>
      </c>
      <c r="G166" t="s">
        <v>233</v>
      </c>
      <c r="H166">
        <v>2023</v>
      </c>
      <c r="I166" t="s">
        <v>242</v>
      </c>
    </row>
    <row r="167" spans="1:9" x14ac:dyDescent="0.25">
      <c r="A167" t="s">
        <v>410</v>
      </c>
      <c r="B167" t="s">
        <v>43</v>
      </c>
      <c r="C167" t="s">
        <v>215</v>
      </c>
      <c r="D167" s="1">
        <v>44938</v>
      </c>
      <c r="E167" s="2">
        <v>0.61458333333333337</v>
      </c>
      <c r="F167" t="s">
        <v>225</v>
      </c>
      <c r="G167" t="s">
        <v>229</v>
      </c>
      <c r="H167">
        <v>2023</v>
      </c>
      <c r="I167" t="s">
        <v>250</v>
      </c>
    </row>
    <row r="168" spans="1:9" x14ac:dyDescent="0.25">
      <c r="A168" t="s">
        <v>411</v>
      </c>
      <c r="B168" t="s">
        <v>145</v>
      </c>
      <c r="C168" t="s">
        <v>191</v>
      </c>
      <c r="D168" s="1">
        <v>45245</v>
      </c>
      <c r="E168" s="2">
        <v>0.34375</v>
      </c>
      <c r="F168" t="s">
        <v>246</v>
      </c>
      <c r="G168" t="s">
        <v>226</v>
      </c>
      <c r="H168">
        <v>2023</v>
      </c>
      <c r="I168" t="s">
        <v>252</v>
      </c>
    </row>
    <row r="169" spans="1:9" x14ac:dyDescent="0.25">
      <c r="A169" t="s">
        <v>412</v>
      </c>
      <c r="B169" t="s">
        <v>110</v>
      </c>
      <c r="C169" t="s">
        <v>201</v>
      </c>
      <c r="D169" s="1">
        <v>45198</v>
      </c>
      <c r="E169" s="2">
        <v>0.41666666666666669</v>
      </c>
      <c r="F169" t="s">
        <v>232</v>
      </c>
      <c r="G169" t="s">
        <v>229</v>
      </c>
      <c r="H169">
        <v>2023</v>
      </c>
      <c r="I169" t="s">
        <v>235</v>
      </c>
    </row>
    <row r="170" spans="1:9" x14ac:dyDescent="0.25">
      <c r="A170" t="s">
        <v>413</v>
      </c>
      <c r="B170" t="s">
        <v>129</v>
      </c>
      <c r="C170" t="s">
        <v>211</v>
      </c>
      <c r="D170" s="1">
        <v>45131</v>
      </c>
      <c r="E170" s="2">
        <v>0.69791666666666663</v>
      </c>
      <c r="F170" t="s">
        <v>246</v>
      </c>
      <c r="G170" t="s">
        <v>233</v>
      </c>
      <c r="H170">
        <v>2023</v>
      </c>
      <c r="I170" t="s">
        <v>238</v>
      </c>
    </row>
    <row r="171" spans="1:9" x14ac:dyDescent="0.25">
      <c r="A171" t="s">
        <v>414</v>
      </c>
      <c r="B171" t="s">
        <v>165</v>
      </c>
      <c r="C171" t="s">
        <v>204</v>
      </c>
      <c r="D171" s="1">
        <v>44988</v>
      </c>
      <c r="E171" s="2">
        <v>0.375</v>
      </c>
      <c r="F171" t="s">
        <v>240</v>
      </c>
      <c r="G171" t="s">
        <v>226</v>
      </c>
      <c r="H171">
        <v>2023</v>
      </c>
      <c r="I171" t="s">
        <v>247</v>
      </c>
    </row>
    <row r="172" spans="1:9" x14ac:dyDescent="0.25">
      <c r="A172" t="s">
        <v>415</v>
      </c>
      <c r="B172" t="s">
        <v>70</v>
      </c>
      <c r="C172" t="s">
        <v>195</v>
      </c>
      <c r="D172" s="1">
        <v>45034</v>
      </c>
      <c r="E172" s="2">
        <v>0.6875</v>
      </c>
      <c r="F172" t="s">
        <v>246</v>
      </c>
      <c r="G172" t="s">
        <v>233</v>
      </c>
      <c r="H172">
        <v>2023</v>
      </c>
      <c r="I172" t="s">
        <v>242</v>
      </c>
    </row>
    <row r="173" spans="1:9" x14ac:dyDescent="0.25">
      <c r="A173" t="s">
        <v>416</v>
      </c>
      <c r="B173" t="s">
        <v>91</v>
      </c>
      <c r="C173" t="s">
        <v>206</v>
      </c>
      <c r="D173" s="1">
        <v>44994</v>
      </c>
      <c r="E173" s="2">
        <v>0.67708333333333337</v>
      </c>
      <c r="F173" t="s">
        <v>240</v>
      </c>
      <c r="G173" t="s">
        <v>226</v>
      </c>
      <c r="H173">
        <v>2023</v>
      </c>
      <c r="I173" t="s">
        <v>247</v>
      </c>
    </row>
    <row r="174" spans="1:9" x14ac:dyDescent="0.25">
      <c r="A174" t="s">
        <v>417</v>
      </c>
      <c r="B174" t="s">
        <v>176</v>
      </c>
      <c r="C174" t="s">
        <v>204</v>
      </c>
      <c r="D174" s="1">
        <v>45081</v>
      </c>
      <c r="E174" s="2">
        <v>0.5625</v>
      </c>
      <c r="F174" t="s">
        <v>240</v>
      </c>
      <c r="G174" t="s">
        <v>249</v>
      </c>
      <c r="H174">
        <v>2023</v>
      </c>
      <c r="I174" t="s">
        <v>230</v>
      </c>
    </row>
    <row r="175" spans="1:9" x14ac:dyDescent="0.25">
      <c r="A175" t="s">
        <v>418</v>
      </c>
      <c r="B175" t="s">
        <v>73</v>
      </c>
      <c r="C175" t="s">
        <v>195</v>
      </c>
      <c r="D175" s="1">
        <v>45230</v>
      </c>
      <c r="E175" s="2">
        <v>0.46875</v>
      </c>
      <c r="F175" t="s">
        <v>246</v>
      </c>
      <c r="G175" t="s">
        <v>233</v>
      </c>
      <c r="H175">
        <v>2023</v>
      </c>
      <c r="I175" t="s">
        <v>272</v>
      </c>
    </row>
    <row r="176" spans="1:9" x14ac:dyDescent="0.25">
      <c r="A176" t="s">
        <v>419</v>
      </c>
      <c r="B176" t="s">
        <v>62</v>
      </c>
      <c r="C176" t="s">
        <v>199</v>
      </c>
      <c r="D176" s="1">
        <v>45221</v>
      </c>
      <c r="E176" s="2">
        <v>0.70833333333333337</v>
      </c>
      <c r="F176" t="s">
        <v>232</v>
      </c>
      <c r="G176" t="s">
        <v>233</v>
      </c>
      <c r="H176">
        <v>2023</v>
      </c>
      <c r="I176" t="s">
        <v>272</v>
      </c>
    </row>
    <row r="177" spans="1:9" x14ac:dyDescent="0.25">
      <c r="A177" t="s">
        <v>420</v>
      </c>
      <c r="B177" t="s">
        <v>65</v>
      </c>
      <c r="C177" t="s">
        <v>213</v>
      </c>
      <c r="D177" s="1">
        <v>45042</v>
      </c>
      <c r="E177" s="2">
        <v>0.39583333333333331</v>
      </c>
      <c r="F177" t="s">
        <v>225</v>
      </c>
      <c r="G177" t="s">
        <v>229</v>
      </c>
      <c r="H177">
        <v>2023</v>
      </c>
      <c r="I177" t="s">
        <v>242</v>
      </c>
    </row>
    <row r="178" spans="1:9" x14ac:dyDescent="0.25">
      <c r="A178" t="s">
        <v>421</v>
      </c>
      <c r="B178" t="s">
        <v>168</v>
      </c>
      <c r="C178" t="s">
        <v>208</v>
      </c>
      <c r="D178" s="1">
        <v>45154</v>
      </c>
      <c r="E178" s="2">
        <v>0.52083333333333337</v>
      </c>
      <c r="F178" t="s">
        <v>225</v>
      </c>
      <c r="G178" t="s">
        <v>233</v>
      </c>
      <c r="H178">
        <v>2023</v>
      </c>
      <c r="I178" t="s">
        <v>227</v>
      </c>
    </row>
    <row r="179" spans="1:9" x14ac:dyDescent="0.25">
      <c r="A179" t="s">
        <v>422</v>
      </c>
      <c r="B179" t="s">
        <v>87</v>
      </c>
      <c r="C179" t="s">
        <v>208</v>
      </c>
      <c r="D179" s="1">
        <v>44943</v>
      </c>
      <c r="E179" s="2">
        <v>0.55208333333333337</v>
      </c>
      <c r="F179" t="s">
        <v>240</v>
      </c>
      <c r="G179" t="s">
        <v>233</v>
      </c>
      <c r="H179">
        <v>2023</v>
      </c>
      <c r="I179" t="s">
        <v>250</v>
      </c>
    </row>
    <row r="180" spans="1:9" x14ac:dyDescent="0.25">
      <c r="A180" t="s">
        <v>423</v>
      </c>
      <c r="B180" t="s">
        <v>152</v>
      </c>
      <c r="C180" t="s">
        <v>206</v>
      </c>
      <c r="D180" s="1">
        <v>44993</v>
      </c>
      <c r="E180" s="2">
        <v>0.51041666666666663</v>
      </c>
      <c r="F180" t="s">
        <v>240</v>
      </c>
      <c r="G180" t="s">
        <v>249</v>
      </c>
      <c r="H180">
        <v>2023</v>
      </c>
      <c r="I180" t="s">
        <v>247</v>
      </c>
    </row>
    <row r="181" spans="1:9" x14ac:dyDescent="0.25">
      <c r="A181" t="s">
        <v>424</v>
      </c>
      <c r="B181" t="s">
        <v>53</v>
      </c>
      <c r="C181" t="s">
        <v>211</v>
      </c>
      <c r="D181" s="1">
        <v>44933</v>
      </c>
      <c r="E181" s="2">
        <v>0.45833333333333331</v>
      </c>
      <c r="F181" t="s">
        <v>232</v>
      </c>
      <c r="G181" t="s">
        <v>233</v>
      </c>
      <c r="H181">
        <v>2023</v>
      </c>
      <c r="I181" t="s">
        <v>250</v>
      </c>
    </row>
    <row r="182" spans="1:9" x14ac:dyDescent="0.25">
      <c r="A182" t="s">
        <v>425</v>
      </c>
      <c r="B182" t="s">
        <v>174</v>
      </c>
      <c r="C182" t="s">
        <v>201</v>
      </c>
      <c r="D182" s="1">
        <v>45172</v>
      </c>
      <c r="E182" s="2">
        <v>0.55208333333333337</v>
      </c>
      <c r="F182" t="s">
        <v>237</v>
      </c>
      <c r="G182" t="s">
        <v>249</v>
      </c>
      <c r="H182">
        <v>2023</v>
      </c>
      <c r="I182" t="s">
        <v>235</v>
      </c>
    </row>
    <row r="183" spans="1:9" x14ac:dyDescent="0.25">
      <c r="A183" t="s">
        <v>426</v>
      </c>
      <c r="B183" t="s">
        <v>75</v>
      </c>
      <c r="C183" t="s">
        <v>211</v>
      </c>
      <c r="D183" s="1">
        <v>45028</v>
      </c>
      <c r="E183" s="2">
        <v>0.33333333333333331</v>
      </c>
      <c r="F183" t="s">
        <v>246</v>
      </c>
      <c r="G183" t="s">
        <v>249</v>
      </c>
      <c r="H183">
        <v>2023</v>
      </c>
      <c r="I183" t="s">
        <v>242</v>
      </c>
    </row>
    <row r="184" spans="1:9" x14ac:dyDescent="0.25">
      <c r="A184" t="s">
        <v>427</v>
      </c>
      <c r="B184" t="s">
        <v>157</v>
      </c>
      <c r="C184" t="s">
        <v>201</v>
      </c>
      <c r="D184" s="1">
        <v>44960</v>
      </c>
      <c r="E184" s="2">
        <v>0.67708333333333337</v>
      </c>
      <c r="F184" t="s">
        <v>240</v>
      </c>
      <c r="G184" t="s">
        <v>249</v>
      </c>
      <c r="H184">
        <v>2023</v>
      </c>
      <c r="I184" t="s">
        <v>261</v>
      </c>
    </row>
    <row r="185" spans="1:9" x14ac:dyDescent="0.25">
      <c r="A185" t="s">
        <v>428</v>
      </c>
      <c r="B185" t="s">
        <v>162</v>
      </c>
      <c r="C185" t="s">
        <v>211</v>
      </c>
      <c r="D185" s="1">
        <v>44983</v>
      </c>
      <c r="E185" s="2">
        <v>0.73958333333333337</v>
      </c>
      <c r="F185" t="s">
        <v>225</v>
      </c>
      <c r="G185" t="s">
        <v>249</v>
      </c>
      <c r="H185">
        <v>2023</v>
      </c>
      <c r="I185" t="s">
        <v>261</v>
      </c>
    </row>
    <row r="186" spans="1:9" x14ac:dyDescent="0.25">
      <c r="A186" t="s">
        <v>429</v>
      </c>
      <c r="B186" t="s">
        <v>62</v>
      </c>
      <c r="C186" t="s">
        <v>213</v>
      </c>
      <c r="D186" s="1">
        <v>45006</v>
      </c>
      <c r="E186" s="2">
        <v>0.58333333333333337</v>
      </c>
      <c r="F186" t="s">
        <v>232</v>
      </c>
      <c r="G186" t="s">
        <v>226</v>
      </c>
      <c r="H186">
        <v>2023</v>
      </c>
      <c r="I186" t="s">
        <v>247</v>
      </c>
    </row>
    <row r="187" spans="1:9" x14ac:dyDescent="0.25">
      <c r="A187" t="s">
        <v>430</v>
      </c>
      <c r="B187" t="s">
        <v>184</v>
      </c>
      <c r="C187" t="s">
        <v>199</v>
      </c>
      <c r="D187" s="1">
        <v>45012</v>
      </c>
      <c r="E187" s="2">
        <v>0.71875</v>
      </c>
      <c r="F187" t="s">
        <v>246</v>
      </c>
      <c r="G187" t="s">
        <v>229</v>
      </c>
      <c r="H187">
        <v>2023</v>
      </c>
      <c r="I187" t="s">
        <v>247</v>
      </c>
    </row>
    <row r="188" spans="1:9" x14ac:dyDescent="0.25">
      <c r="A188" t="s">
        <v>431</v>
      </c>
      <c r="B188" t="s">
        <v>123</v>
      </c>
      <c r="C188" t="s">
        <v>199</v>
      </c>
      <c r="D188" s="1">
        <v>44970</v>
      </c>
      <c r="E188" s="2">
        <v>0.52083333333333337</v>
      </c>
      <c r="F188" t="s">
        <v>232</v>
      </c>
      <c r="G188" t="s">
        <v>226</v>
      </c>
      <c r="H188">
        <v>2023</v>
      </c>
      <c r="I188" t="s">
        <v>261</v>
      </c>
    </row>
    <row r="189" spans="1:9" x14ac:dyDescent="0.25">
      <c r="A189" t="s">
        <v>432</v>
      </c>
      <c r="B189" t="s">
        <v>22</v>
      </c>
      <c r="C189" t="s">
        <v>195</v>
      </c>
      <c r="D189" s="1">
        <v>45028</v>
      </c>
      <c r="E189" s="2">
        <v>0.6875</v>
      </c>
      <c r="F189" t="s">
        <v>246</v>
      </c>
      <c r="G189" t="s">
        <v>233</v>
      </c>
      <c r="H189">
        <v>2023</v>
      </c>
      <c r="I189" t="s">
        <v>242</v>
      </c>
    </row>
    <row r="190" spans="1:9" x14ac:dyDescent="0.25">
      <c r="A190" t="s">
        <v>433</v>
      </c>
      <c r="B190" t="s">
        <v>43</v>
      </c>
      <c r="C190" t="s">
        <v>215</v>
      </c>
      <c r="D190" s="1">
        <v>45204</v>
      </c>
      <c r="E190" s="2">
        <v>0.5625</v>
      </c>
      <c r="F190" t="s">
        <v>246</v>
      </c>
      <c r="G190" t="s">
        <v>226</v>
      </c>
      <c r="H190">
        <v>2023</v>
      </c>
      <c r="I190" t="s">
        <v>272</v>
      </c>
    </row>
    <row r="191" spans="1:9" x14ac:dyDescent="0.25">
      <c r="A191" t="s">
        <v>434</v>
      </c>
      <c r="B191" t="s">
        <v>129</v>
      </c>
      <c r="C191" t="s">
        <v>199</v>
      </c>
      <c r="D191" s="1">
        <v>45246</v>
      </c>
      <c r="E191" s="2">
        <v>0.63541666666666663</v>
      </c>
      <c r="F191" t="s">
        <v>240</v>
      </c>
      <c r="G191" t="s">
        <v>226</v>
      </c>
      <c r="H191">
        <v>2023</v>
      </c>
      <c r="I191" t="s">
        <v>252</v>
      </c>
    </row>
    <row r="192" spans="1:9" x14ac:dyDescent="0.25">
      <c r="A192" t="s">
        <v>435</v>
      </c>
      <c r="B192" t="s">
        <v>149</v>
      </c>
      <c r="C192" t="s">
        <v>199</v>
      </c>
      <c r="D192" s="1">
        <v>45028</v>
      </c>
      <c r="E192" s="2">
        <v>0.66666666666666663</v>
      </c>
      <c r="F192" t="s">
        <v>232</v>
      </c>
      <c r="G192" t="s">
        <v>233</v>
      </c>
      <c r="H192">
        <v>2023</v>
      </c>
      <c r="I192" t="s">
        <v>242</v>
      </c>
    </row>
    <row r="193" spans="1:9" x14ac:dyDescent="0.25">
      <c r="A193" t="s">
        <v>436</v>
      </c>
      <c r="B193" t="s">
        <v>152</v>
      </c>
      <c r="C193" t="s">
        <v>204</v>
      </c>
      <c r="D193" s="1">
        <v>45169</v>
      </c>
      <c r="E193" s="2">
        <v>0.59375</v>
      </c>
      <c r="F193" t="s">
        <v>232</v>
      </c>
      <c r="G193" t="s">
        <v>233</v>
      </c>
      <c r="H193">
        <v>2023</v>
      </c>
      <c r="I193" t="s">
        <v>227</v>
      </c>
    </row>
    <row r="194" spans="1:9" x14ac:dyDescent="0.25">
      <c r="A194" t="s">
        <v>437</v>
      </c>
      <c r="B194" t="s">
        <v>94</v>
      </c>
      <c r="C194" t="s">
        <v>204</v>
      </c>
      <c r="D194" s="1">
        <v>45184</v>
      </c>
      <c r="E194" s="2">
        <v>0.34375</v>
      </c>
      <c r="F194" t="s">
        <v>225</v>
      </c>
      <c r="G194" t="s">
        <v>233</v>
      </c>
      <c r="H194">
        <v>2023</v>
      </c>
      <c r="I194" t="s">
        <v>235</v>
      </c>
    </row>
    <row r="195" spans="1:9" x14ac:dyDescent="0.25">
      <c r="A195" t="s">
        <v>438</v>
      </c>
      <c r="B195" t="s">
        <v>57</v>
      </c>
      <c r="C195" t="s">
        <v>195</v>
      </c>
      <c r="D195" s="1">
        <v>45022</v>
      </c>
      <c r="E195" s="2">
        <v>0.53125</v>
      </c>
      <c r="F195" t="s">
        <v>225</v>
      </c>
      <c r="G195" t="s">
        <v>226</v>
      </c>
      <c r="H195">
        <v>2023</v>
      </c>
      <c r="I195" t="s">
        <v>242</v>
      </c>
    </row>
    <row r="196" spans="1:9" x14ac:dyDescent="0.25">
      <c r="A196" t="s">
        <v>439</v>
      </c>
      <c r="B196" t="s">
        <v>178</v>
      </c>
      <c r="C196" t="s">
        <v>215</v>
      </c>
      <c r="D196" s="1">
        <v>45157</v>
      </c>
      <c r="E196" s="2">
        <v>0.71875</v>
      </c>
      <c r="F196" t="s">
        <v>240</v>
      </c>
      <c r="G196" t="s">
        <v>226</v>
      </c>
      <c r="H196">
        <v>2023</v>
      </c>
      <c r="I196" t="s">
        <v>227</v>
      </c>
    </row>
    <row r="197" spans="1:9" x14ac:dyDescent="0.25">
      <c r="A197" t="s">
        <v>440</v>
      </c>
      <c r="B197" t="s">
        <v>171</v>
      </c>
      <c r="C197" t="s">
        <v>206</v>
      </c>
      <c r="D197" s="1">
        <v>45225</v>
      </c>
      <c r="E197" s="2">
        <v>0.40625</v>
      </c>
      <c r="F197" t="s">
        <v>240</v>
      </c>
      <c r="G197" t="s">
        <v>233</v>
      </c>
      <c r="H197">
        <v>2023</v>
      </c>
      <c r="I197" t="s">
        <v>272</v>
      </c>
    </row>
    <row r="198" spans="1:9" x14ac:dyDescent="0.25">
      <c r="A198" t="s">
        <v>441</v>
      </c>
      <c r="B198" t="s">
        <v>13</v>
      </c>
      <c r="C198" t="s">
        <v>204</v>
      </c>
      <c r="D198" s="1">
        <v>45017</v>
      </c>
      <c r="E198" s="2">
        <v>0.5625</v>
      </c>
      <c r="F198" t="s">
        <v>237</v>
      </c>
      <c r="G198" t="s">
        <v>229</v>
      </c>
      <c r="H198">
        <v>2023</v>
      </c>
      <c r="I198" t="s">
        <v>242</v>
      </c>
    </row>
    <row r="199" spans="1:9" x14ac:dyDescent="0.25">
      <c r="A199" t="s">
        <v>442</v>
      </c>
      <c r="B199" t="s">
        <v>105</v>
      </c>
      <c r="C199" t="s">
        <v>206</v>
      </c>
      <c r="D199" s="1">
        <v>45061</v>
      </c>
      <c r="E199" s="2">
        <v>0.35416666666666669</v>
      </c>
      <c r="F199" t="s">
        <v>225</v>
      </c>
      <c r="G199" t="s">
        <v>229</v>
      </c>
      <c r="H199">
        <v>2023</v>
      </c>
      <c r="I199" t="s">
        <v>244</v>
      </c>
    </row>
    <row r="200" spans="1:9" x14ac:dyDescent="0.25">
      <c r="A200" t="s">
        <v>443</v>
      </c>
      <c r="B200" t="s">
        <v>87</v>
      </c>
      <c r="C200" t="s">
        <v>191</v>
      </c>
      <c r="D200" s="1">
        <v>45047</v>
      </c>
      <c r="E200" s="2">
        <v>0.53125</v>
      </c>
      <c r="F200" t="s">
        <v>246</v>
      </c>
      <c r="G200" t="s">
        <v>249</v>
      </c>
      <c r="H200">
        <v>2023</v>
      </c>
      <c r="I200" t="s">
        <v>244</v>
      </c>
    </row>
    <row r="201" spans="1:9" x14ac:dyDescent="0.25">
      <c r="A201" t="s">
        <v>444</v>
      </c>
      <c r="B201" t="s">
        <v>53</v>
      </c>
      <c r="C201" t="s">
        <v>204</v>
      </c>
      <c r="D201" s="1">
        <v>45290</v>
      </c>
      <c r="E201" s="2">
        <v>0.42708333333333331</v>
      </c>
      <c r="F201" t="s">
        <v>232</v>
      </c>
      <c r="G201" t="s">
        <v>233</v>
      </c>
      <c r="H201">
        <v>2023</v>
      </c>
      <c r="I201" t="s">
        <v>263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C498-B15C-484D-ACC9-848CF68A8FE2}">
  <dimension ref="A1:H11"/>
  <sheetViews>
    <sheetView workbookViewId="0"/>
  </sheetViews>
  <sheetFormatPr defaultRowHeight="15" x14ac:dyDescent="0.25"/>
  <cols>
    <col min="1" max="1" width="12.28515625" bestFit="1" customWidth="1"/>
    <col min="2" max="2" width="13.42578125" bestFit="1" customWidth="1"/>
    <col min="3" max="3" width="13.140625" bestFit="1" customWidth="1"/>
    <col min="4" max="4" width="16" bestFit="1" customWidth="1"/>
    <col min="5" max="5" width="17.28515625" bestFit="1" customWidth="1"/>
    <col min="6" max="6" width="19.5703125" bestFit="1" customWidth="1"/>
    <col min="7" max="7" width="18" bestFit="1" customWidth="1"/>
    <col min="8" max="8" width="28.42578125" bestFit="1" customWidth="1"/>
  </cols>
  <sheetData>
    <row r="1" spans="1:8" x14ac:dyDescent="0.25">
      <c r="A1" t="s">
        <v>186</v>
      </c>
      <c r="B1" t="s">
        <v>1</v>
      </c>
      <c r="C1" t="s">
        <v>2</v>
      </c>
      <c r="D1" t="s">
        <v>187</v>
      </c>
      <c r="E1" t="s">
        <v>188</v>
      </c>
      <c r="F1" t="s">
        <v>189</v>
      </c>
      <c r="G1" t="s">
        <v>190</v>
      </c>
      <c r="H1" t="s">
        <v>10</v>
      </c>
    </row>
    <row r="2" spans="1:8" x14ac:dyDescent="0.25">
      <c r="A2" t="s">
        <v>191</v>
      </c>
      <c r="B2" t="s">
        <v>14</v>
      </c>
      <c r="C2" t="s">
        <v>66</v>
      </c>
      <c r="D2" t="s">
        <v>192</v>
      </c>
      <c r="E2">
        <v>8322010158</v>
      </c>
      <c r="F2">
        <v>17</v>
      </c>
      <c r="G2" t="s">
        <v>193</v>
      </c>
      <c r="H2" t="s">
        <v>194</v>
      </c>
    </row>
    <row r="3" spans="1:8" x14ac:dyDescent="0.25">
      <c r="A3" t="s">
        <v>195</v>
      </c>
      <c r="B3" t="s">
        <v>88</v>
      </c>
      <c r="C3" t="s">
        <v>58</v>
      </c>
      <c r="D3" t="s">
        <v>196</v>
      </c>
      <c r="E3">
        <v>9004382050</v>
      </c>
      <c r="F3">
        <v>24</v>
      </c>
      <c r="G3" t="s">
        <v>197</v>
      </c>
      <c r="H3" t="s">
        <v>198</v>
      </c>
    </row>
    <row r="4" spans="1:8" x14ac:dyDescent="0.25">
      <c r="A4" t="s">
        <v>199</v>
      </c>
      <c r="B4" t="s">
        <v>88</v>
      </c>
      <c r="C4" t="s">
        <v>24</v>
      </c>
      <c r="D4" t="s">
        <v>196</v>
      </c>
      <c r="E4">
        <v>8737740598</v>
      </c>
      <c r="F4">
        <v>19</v>
      </c>
      <c r="G4" t="s">
        <v>197</v>
      </c>
      <c r="H4" t="s">
        <v>200</v>
      </c>
    </row>
    <row r="5" spans="1:8" x14ac:dyDescent="0.25">
      <c r="A5" t="s">
        <v>201</v>
      </c>
      <c r="B5" t="s">
        <v>14</v>
      </c>
      <c r="C5" t="s">
        <v>32</v>
      </c>
      <c r="D5" t="s">
        <v>196</v>
      </c>
      <c r="E5">
        <v>6594221991</v>
      </c>
      <c r="F5">
        <v>28</v>
      </c>
      <c r="G5" t="s">
        <v>202</v>
      </c>
      <c r="H5" t="s">
        <v>203</v>
      </c>
    </row>
    <row r="6" spans="1:8" x14ac:dyDescent="0.25">
      <c r="A6" t="s">
        <v>204</v>
      </c>
      <c r="B6" t="s">
        <v>82</v>
      </c>
      <c r="C6" t="s">
        <v>66</v>
      </c>
      <c r="D6" t="s">
        <v>192</v>
      </c>
      <c r="E6">
        <v>9118538547</v>
      </c>
      <c r="F6">
        <v>26</v>
      </c>
      <c r="G6" t="s">
        <v>202</v>
      </c>
      <c r="H6" t="s">
        <v>205</v>
      </c>
    </row>
    <row r="7" spans="1:8" x14ac:dyDescent="0.25">
      <c r="A7" t="s">
        <v>206</v>
      </c>
      <c r="B7" t="s">
        <v>54</v>
      </c>
      <c r="C7" t="s">
        <v>58</v>
      </c>
      <c r="D7" t="s">
        <v>196</v>
      </c>
      <c r="E7">
        <v>6570137231</v>
      </c>
      <c r="F7">
        <v>23</v>
      </c>
      <c r="G7" t="s">
        <v>202</v>
      </c>
      <c r="H7" t="s">
        <v>207</v>
      </c>
    </row>
    <row r="8" spans="1:8" x14ac:dyDescent="0.25">
      <c r="A8" t="s">
        <v>208</v>
      </c>
      <c r="B8" t="s">
        <v>117</v>
      </c>
      <c r="C8" t="s">
        <v>58</v>
      </c>
      <c r="D8" t="s">
        <v>209</v>
      </c>
      <c r="E8">
        <v>8217493115</v>
      </c>
      <c r="F8">
        <v>26</v>
      </c>
      <c r="G8" t="s">
        <v>193</v>
      </c>
      <c r="H8" t="s">
        <v>210</v>
      </c>
    </row>
    <row r="9" spans="1:8" x14ac:dyDescent="0.25">
      <c r="A9" t="s">
        <v>211</v>
      </c>
      <c r="B9" t="s">
        <v>50</v>
      </c>
      <c r="C9" t="s">
        <v>107</v>
      </c>
      <c r="D9" t="s">
        <v>192</v>
      </c>
      <c r="E9">
        <v>9069162601</v>
      </c>
      <c r="F9">
        <v>5</v>
      </c>
      <c r="G9" t="s">
        <v>193</v>
      </c>
      <c r="H9" t="s">
        <v>212</v>
      </c>
    </row>
    <row r="10" spans="1:8" x14ac:dyDescent="0.25">
      <c r="A10" t="s">
        <v>213</v>
      </c>
      <c r="B10" t="s">
        <v>82</v>
      </c>
      <c r="C10" t="s">
        <v>24</v>
      </c>
      <c r="D10" t="s">
        <v>196</v>
      </c>
      <c r="E10">
        <v>7387087517</v>
      </c>
      <c r="F10">
        <v>26</v>
      </c>
      <c r="G10" t="s">
        <v>202</v>
      </c>
      <c r="H10" t="s">
        <v>214</v>
      </c>
    </row>
    <row r="11" spans="1:8" x14ac:dyDescent="0.25">
      <c r="A11" t="s">
        <v>215</v>
      </c>
      <c r="B11" t="s">
        <v>50</v>
      </c>
      <c r="C11" t="s">
        <v>44</v>
      </c>
      <c r="D11" t="s">
        <v>209</v>
      </c>
      <c r="E11">
        <v>6176383634</v>
      </c>
      <c r="F11">
        <v>21</v>
      </c>
      <c r="G11" t="s">
        <v>197</v>
      </c>
      <c r="H11" t="s">
        <v>216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AC36-9BAD-4B9C-941E-B84465B28D4B}">
  <dimension ref="A1:M51"/>
  <sheetViews>
    <sheetView topLeftCell="A2" workbookViewId="0">
      <selection activeCell="C8" sqref="C8"/>
    </sheetView>
  </sheetViews>
  <sheetFormatPr defaultRowHeight="15" x14ac:dyDescent="0.25"/>
  <cols>
    <col min="1" max="1" width="12.57031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15.85546875" bestFit="1" customWidth="1"/>
    <col min="6" max="6" width="18.7109375" bestFit="1" customWidth="1"/>
    <col min="7" max="7" width="12.28515625" bestFit="1" customWidth="1"/>
    <col min="8" max="8" width="19.7109375" bestFit="1" customWidth="1"/>
    <col min="9" max="9" width="20.85546875" bestFit="1" customWidth="1"/>
    <col min="10" max="10" width="20.5703125" bestFit="1" customWidth="1"/>
    <col min="11" max="11" width="26.7109375" bestFit="1" customWidth="1"/>
    <col min="12" max="12" width="6.5703125" bestFit="1" customWidth="1"/>
    <col min="13" max="13" width="1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20244</v>
      </c>
      <c r="F2">
        <v>6939585183</v>
      </c>
      <c r="G2" t="s">
        <v>17</v>
      </c>
      <c r="H2" s="1">
        <v>44735</v>
      </c>
      <c r="I2" t="s">
        <v>18</v>
      </c>
      <c r="J2" t="s">
        <v>19</v>
      </c>
      <c r="K2" t="s">
        <v>20</v>
      </c>
      <c r="L2">
        <v>70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16</v>
      </c>
      <c r="E3" s="1">
        <v>30967</v>
      </c>
      <c r="F3">
        <v>8228188767</v>
      </c>
      <c r="G3" t="s">
        <v>25</v>
      </c>
      <c r="H3" s="1">
        <v>44576</v>
      </c>
      <c r="I3" t="s">
        <v>26</v>
      </c>
      <c r="J3" t="s">
        <v>27</v>
      </c>
      <c r="K3" t="s">
        <v>28</v>
      </c>
      <c r="L3">
        <v>41</v>
      </c>
      <c r="M3" t="s">
        <v>29</v>
      </c>
    </row>
    <row r="4" spans="1:13" x14ac:dyDescent="0.25">
      <c r="A4" t="s">
        <v>30</v>
      </c>
      <c r="B4" t="s">
        <v>31</v>
      </c>
      <c r="C4" t="s">
        <v>32</v>
      </c>
      <c r="D4" t="s">
        <v>33</v>
      </c>
      <c r="E4" s="1">
        <v>28358</v>
      </c>
      <c r="F4">
        <v>8397029847</v>
      </c>
      <c r="G4" t="s">
        <v>25</v>
      </c>
      <c r="H4" s="1">
        <v>44599</v>
      </c>
      <c r="I4" t="s">
        <v>26</v>
      </c>
      <c r="J4" t="s">
        <v>34</v>
      </c>
      <c r="K4" t="s">
        <v>35</v>
      </c>
      <c r="L4">
        <v>48</v>
      </c>
      <c r="M4" t="s">
        <v>29</v>
      </c>
    </row>
    <row r="5" spans="1:13" x14ac:dyDescent="0.25">
      <c r="A5" t="s">
        <v>36</v>
      </c>
      <c r="B5" t="s">
        <v>37</v>
      </c>
      <c r="C5" t="s">
        <v>38</v>
      </c>
      <c r="D5" t="s">
        <v>16</v>
      </c>
      <c r="E5" s="1">
        <v>29637</v>
      </c>
      <c r="F5">
        <v>9019443432</v>
      </c>
      <c r="G5" t="s">
        <v>39</v>
      </c>
      <c r="H5" s="1">
        <v>44257</v>
      </c>
      <c r="I5" t="s">
        <v>40</v>
      </c>
      <c r="J5" t="s">
        <v>41</v>
      </c>
      <c r="K5" t="s">
        <v>42</v>
      </c>
      <c r="L5">
        <v>45</v>
      </c>
      <c r="M5" t="s">
        <v>29</v>
      </c>
    </row>
    <row r="6" spans="1:13" x14ac:dyDescent="0.25">
      <c r="A6" t="s">
        <v>43</v>
      </c>
      <c r="B6" t="s">
        <v>14</v>
      </c>
      <c r="C6" t="s">
        <v>44</v>
      </c>
      <c r="D6" t="s">
        <v>33</v>
      </c>
      <c r="E6" s="1">
        <v>22090</v>
      </c>
      <c r="F6">
        <v>7734463155</v>
      </c>
      <c r="G6" t="s">
        <v>39</v>
      </c>
      <c r="H6" s="1">
        <v>44468</v>
      </c>
      <c r="I6" t="s">
        <v>45</v>
      </c>
      <c r="J6" t="s">
        <v>46</v>
      </c>
      <c r="K6" t="s">
        <v>47</v>
      </c>
      <c r="L6">
        <v>65</v>
      </c>
      <c r="M6" t="s">
        <v>48</v>
      </c>
    </row>
    <row r="7" spans="1:13" x14ac:dyDescent="0.25">
      <c r="A7" t="s">
        <v>49</v>
      </c>
      <c r="B7" t="s">
        <v>50</v>
      </c>
      <c r="C7" t="s">
        <v>32</v>
      </c>
      <c r="D7" t="s">
        <v>33</v>
      </c>
      <c r="E7" s="1">
        <v>23178</v>
      </c>
      <c r="F7">
        <v>7561777264</v>
      </c>
      <c r="G7" t="s">
        <v>25</v>
      </c>
      <c r="H7" s="1">
        <v>44836</v>
      </c>
      <c r="I7" t="s">
        <v>40</v>
      </c>
      <c r="J7" t="s">
        <v>51</v>
      </c>
      <c r="K7" t="s">
        <v>52</v>
      </c>
      <c r="L7">
        <v>62</v>
      </c>
      <c r="M7" t="s">
        <v>48</v>
      </c>
    </row>
    <row r="8" spans="1:13" x14ac:dyDescent="0.25">
      <c r="A8" t="s">
        <v>53</v>
      </c>
      <c r="B8" t="s">
        <v>54</v>
      </c>
      <c r="C8" t="s">
        <v>38</v>
      </c>
      <c r="D8" t="s">
        <v>16</v>
      </c>
      <c r="E8" s="1">
        <v>32667</v>
      </c>
      <c r="F8">
        <v>6278710077</v>
      </c>
      <c r="G8" t="s">
        <v>17</v>
      </c>
      <c r="H8" s="1">
        <v>44555</v>
      </c>
      <c r="I8" t="s">
        <v>45</v>
      </c>
      <c r="J8" t="s">
        <v>55</v>
      </c>
      <c r="K8" t="s">
        <v>56</v>
      </c>
      <c r="L8">
        <v>36</v>
      </c>
      <c r="M8" t="s">
        <v>29</v>
      </c>
    </row>
    <row r="9" spans="1:13" x14ac:dyDescent="0.25">
      <c r="A9" t="s">
        <v>57</v>
      </c>
      <c r="B9" t="s">
        <v>14</v>
      </c>
      <c r="C9" t="s">
        <v>58</v>
      </c>
      <c r="D9" t="s">
        <v>16</v>
      </c>
      <c r="E9" s="1">
        <v>27946</v>
      </c>
      <c r="F9">
        <v>7090558393</v>
      </c>
      <c r="G9" t="s">
        <v>59</v>
      </c>
      <c r="H9" s="1">
        <v>44341</v>
      </c>
      <c r="I9" t="s">
        <v>18</v>
      </c>
      <c r="J9" t="s">
        <v>60</v>
      </c>
      <c r="K9" t="s">
        <v>61</v>
      </c>
      <c r="L9">
        <v>49</v>
      </c>
      <c r="M9" t="s">
        <v>29</v>
      </c>
    </row>
    <row r="10" spans="1:13" x14ac:dyDescent="0.25">
      <c r="A10" t="s">
        <v>62</v>
      </c>
      <c r="B10" t="s">
        <v>31</v>
      </c>
      <c r="C10" t="s">
        <v>58</v>
      </c>
      <c r="D10" t="s">
        <v>33</v>
      </c>
      <c r="E10" s="1">
        <v>26278</v>
      </c>
      <c r="F10">
        <v>7060324619</v>
      </c>
      <c r="G10" t="s">
        <v>25</v>
      </c>
      <c r="H10" s="1">
        <v>44822</v>
      </c>
      <c r="I10" t="s">
        <v>26</v>
      </c>
      <c r="J10" t="s">
        <v>63</v>
      </c>
      <c r="K10" t="s">
        <v>64</v>
      </c>
      <c r="L10">
        <v>54</v>
      </c>
      <c r="M10" t="s">
        <v>48</v>
      </c>
    </row>
    <row r="11" spans="1:13" x14ac:dyDescent="0.25">
      <c r="A11" t="s">
        <v>65</v>
      </c>
      <c r="B11" t="s">
        <v>37</v>
      </c>
      <c r="C11" t="s">
        <v>66</v>
      </c>
      <c r="D11" t="s">
        <v>33</v>
      </c>
      <c r="E11" s="1">
        <v>37177</v>
      </c>
      <c r="F11">
        <v>7081396733</v>
      </c>
      <c r="G11" t="s">
        <v>39</v>
      </c>
      <c r="H11" s="1">
        <v>44797</v>
      </c>
      <c r="I11" t="s">
        <v>18</v>
      </c>
      <c r="J11" t="s">
        <v>67</v>
      </c>
      <c r="K11" t="s">
        <v>68</v>
      </c>
      <c r="L11">
        <v>24</v>
      </c>
      <c r="M11" t="s">
        <v>69</v>
      </c>
    </row>
    <row r="12" spans="1:13" x14ac:dyDescent="0.25">
      <c r="A12" t="s">
        <v>70</v>
      </c>
      <c r="B12" t="s">
        <v>23</v>
      </c>
      <c r="C12" t="s">
        <v>32</v>
      </c>
      <c r="D12" t="s">
        <v>16</v>
      </c>
      <c r="E12" s="1">
        <v>24445</v>
      </c>
      <c r="F12">
        <v>8990604070</v>
      </c>
      <c r="G12" t="s">
        <v>17</v>
      </c>
      <c r="H12" s="1">
        <v>44831</v>
      </c>
      <c r="I12" t="s">
        <v>45</v>
      </c>
      <c r="J12" t="s">
        <v>71</v>
      </c>
      <c r="K12" t="s">
        <v>72</v>
      </c>
      <c r="L12">
        <v>59</v>
      </c>
      <c r="M12" t="s">
        <v>48</v>
      </c>
    </row>
    <row r="13" spans="1:13" x14ac:dyDescent="0.25">
      <c r="A13" t="s">
        <v>73</v>
      </c>
      <c r="B13" t="s">
        <v>31</v>
      </c>
      <c r="C13" t="s">
        <v>58</v>
      </c>
      <c r="D13" t="s">
        <v>16</v>
      </c>
      <c r="E13" s="1">
        <v>33580</v>
      </c>
      <c r="F13">
        <v>8135666049</v>
      </c>
      <c r="G13" t="s">
        <v>25</v>
      </c>
      <c r="H13" s="1">
        <v>45043</v>
      </c>
      <c r="I13" t="s">
        <v>45</v>
      </c>
      <c r="J13" t="s">
        <v>74</v>
      </c>
      <c r="K13" t="s">
        <v>64</v>
      </c>
      <c r="L13">
        <v>34</v>
      </c>
      <c r="M13" t="s">
        <v>69</v>
      </c>
    </row>
    <row r="14" spans="1:13" x14ac:dyDescent="0.25">
      <c r="A14" t="s">
        <v>75</v>
      </c>
      <c r="B14" t="s">
        <v>31</v>
      </c>
      <c r="C14" t="s">
        <v>38</v>
      </c>
      <c r="D14" t="s">
        <v>16</v>
      </c>
      <c r="E14" s="1">
        <v>32960</v>
      </c>
      <c r="F14">
        <v>9059178882</v>
      </c>
      <c r="G14" t="s">
        <v>25</v>
      </c>
      <c r="H14" s="1">
        <v>44553</v>
      </c>
      <c r="I14" t="s">
        <v>18</v>
      </c>
      <c r="J14" t="s">
        <v>76</v>
      </c>
      <c r="K14" t="s">
        <v>77</v>
      </c>
      <c r="L14">
        <v>36</v>
      </c>
      <c r="M14" t="s">
        <v>29</v>
      </c>
    </row>
    <row r="15" spans="1:13" x14ac:dyDescent="0.25">
      <c r="A15" t="s">
        <v>78</v>
      </c>
      <c r="B15" t="s">
        <v>54</v>
      </c>
      <c r="C15" t="s">
        <v>66</v>
      </c>
      <c r="D15" t="s">
        <v>33</v>
      </c>
      <c r="E15" s="1">
        <v>24895</v>
      </c>
      <c r="F15">
        <v>7292262512</v>
      </c>
      <c r="G15" t="s">
        <v>17</v>
      </c>
      <c r="H15" s="1">
        <v>45272</v>
      </c>
      <c r="I15" t="s">
        <v>45</v>
      </c>
      <c r="J15" t="s">
        <v>79</v>
      </c>
      <c r="K15" t="s">
        <v>80</v>
      </c>
      <c r="L15">
        <v>58</v>
      </c>
      <c r="M15" t="s">
        <v>48</v>
      </c>
    </row>
    <row r="16" spans="1:13" x14ac:dyDescent="0.25">
      <c r="A16" t="s">
        <v>81</v>
      </c>
      <c r="B16" t="s">
        <v>82</v>
      </c>
      <c r="C16" t="s">
        <v>38</v>
      </c>
      <c r="D16" t="s">
        <v>33</v>
      </c>
      <c r="E16" s="1">
        <v>23508</v>
      </c>
      <c r="F16">
        <v>6636028516</v>
      </c>
      <c r="G16" t="s">
        <v>25</v>
      </c>
      <c r="H16" s="1">
        <v>44464</v>
      </c>
      <c r="I16" t="s">
        <v>18</v>
      </c>
      <c r="J16" t="s">
        <v>83</v>
      </c>
      <c r="K16" t="s">
        <v>84</v>
      </c>
      <c r="L16">
        <v>62</v>
      </c>
      <c r="M16" t="s">
        <v>48</v>
      </c>
    </row>
    <row r="17" spans="1:13" x14ac:dyDescent="0.25">
      <c r="A17" t="s">
        <v>85</v>
      </c>
      <c r="B17" t="s">
        <v>37</v>
      </c>
      <c r="C17" t="s">
        <v>66</v>
      </c>
      <c r="D17" t="s">
        <v>33</v>
      </c>
      <c r="E17" s="1">
        <v>36729</v>
      </c>
      <c r="F17">
        <v>7223380592</v>
      </c>
      <c r="G17" t="s">
        <v>17</v>
      </c>
      <c r="H17" s="1">
        <v>44400</v>
      </c>
      <c r="I17" t="s">
        <v>26</v>
      </c>
      <c r="J17" t="s">
        <v>86</v>
      </c>
      <c r="K17" t="s">
        <v>68</v>
      </c>
      <c r="L17">
        <v>25</v>
      </c>
      <c r="M17" t="s">
        <v>69</v>
      </c>
    </row>
    <row r="18" spans="1:13" x14ac:dyDescent="0.25">
      <c r="A18" t="s">
        <v>87</v>
      </c>
      <c r="B18" t="s">
        <v>88</v>
      </c>
      <c r="C18" t="s">
        <v>32</v>
      </c>
      <c r="D18" t="s">
        <v>33</v>
      </c>
      <c r="E18" s="1">
        <v>33359</v>
      </c>
      <c r="F18">
        <v>6158428240</v>
      </c>
      <c r="G18" t="s">
        <v>59</v>
      </c>
      <c r="H18" s="1">
        <v>44830</v>
      </c>
      <c r="I18" t="s">
        <v>18</v>
      </c>
      <c r="J18" t="s">
        <v>89</v>
      </c>
      <c r="K18" t="s">
        <v>90</v>
      </c>
      <c r="L18">
        <v>35</v>
      </c>
      <c r="M18" t="s">
        <v>69</v>
      </c>
    </row>
    <row r="19" spans="1:13" x14ac:dyDescent="0.25">
      <c r="A19" t="s">
        <v>91</v>
      </c>
      <c r="B19" t="s">
        <v>31</v>
      </c>
      <c r="C19" t="s">
        <v>44</v>
      </c>
      <c r="D19" t="s">
        <v>33</v>
      </c>
      <c r="E19" s="1">
        <v>29122</v>
      </c>
      <c r="F19">
        <v>7145815738</v>
      </c>
      <c r="G19" t="s">
        <v>17</v>
      </c>
      <c r="H19" s="1">
        <v>44827</v>
      </c>
      <c r="I19" t="s">
        <v>26</v>
      </c>
      <c r="J19" t="s">
        <v>92</v>
      </c>
      <c r="K19" t="s">
        <v>93</v>
      </c>
      <c r="L19">
        <v>46</v>
      </c>
      <c r="M19" t="s">
        <v>29</v>
      </c>
    </row>
    <row r="20" spans="1:13" x14ac:dyDescent="0.25">
      <c r="A20" t="s">
        <v>94</v>
      </c>
      <c r="B20" t="s">
        <v>82</v>
      </c>
      <c r="C20" t="s">
        <v>95</v>
      </c>
      <c r="D20" t="s">
        <v>33</v>
      </c>
      <c r="E20" s="1">
        <v>27538</v>
      </c>
      <c r="F20">
        <v>8618058864</v>
      </c>
      <c r="G20" t="s">
        <v>17</v>
      </c>
      <c r="H20" s="1">
        <v>45101</v>
      </c>
      <c r="I20" t="s">
        <v>18</v>
      </c>
      <c r="J20" t="s">
        <v>96</v>
      </c>
      <c r="K20" t="s">
        <v>97</v>
      </c>
      <c r="L20">
        <v>51</v>
      </c>
      <c r="M20" t="s">
        <v>48</v>
      </c>
    </row>
    <row r="21" spans="1:13" x14ac:dyDescent="0.25">
      <c r="A21" t="s">
        <v>98</v>
      </c>
      <c r="B21" t="s">
        <v>88</v>
      </c>
      <c r="C21" t="s">
        <v>99</v>
      </c>
      <c r="D21" t="s">
        <v>16</v>
      </c>
      <c r="E21" s="1">
        <v>37778</v>
      </c>
      <c r="F21">
        <v>8158989953</v>
      </c>
      <c r="G21" t="s">
        <v>17</v>
      </c>
      <c r="H21" s="1">
        <v>44654</v>
      </c>
      <c r="I21" t="s">
        <v>45</v>
      </c>
      <c r="J21" t="s">
        <v>100</v>
      </c>
      <c r="K21" t="s">
        <v>101</v>
      </c>
      <c r="L21">
        <v>22</v>
      </c>
      <c r="M21" t="s">
        <v>69</v>
      </c>
    </row>
    <row r="22" spans="1:13" x14ac:dyDescent="0.25">
      <c r="A22" t="s">
        <v>102</v>
      </c>
      <c r="B22" t="s">
        <v>37</v>
      </c>
      <c r="C22" t="s">
        <v>44</v>
      </c>
      <c r="D22" t="s">
        <v>33</v>
      </c>
      <c r="E22" s="1">
        <v>37316</v>
      </c>
      <c r="F22">
        <v>7765390555</v>
      </c>
      <c r="G22" t="s">
        <v>25</v>
      </c>
      <c r="H22" s="1">
        <v>44580</v>
      </c>
      <c r="I22" t="s">
        <v>18</v>
      </c>
      <c r="J22" t="s">
        <v>103</v>
      </c>
      <c r="K22" t="s">
        <v>104</v>
      </c>
      <c r="L22">
        <v>24</v>
      </c>
      <c r="M22" t="s">
        <v>69</v>
      </c>
    </row>
    <row r="23" spans="1:13" x14ac:dyDescent="0.25">
      <c r="A23" t="s">
        <v>105</v>
      </c>
      <c r="B23" t="s">
        <v>106</v>
      </c>
      <c r="C23" t="s">
        <v>107</v>
      </c>
      <c r="D23" t="s">
        <v>33</v>
      </c>
      <c r="E23" s="1">
        <v>20219</v>
      </c>
      <c r="F23">
        <v>6221099573</v>
      </c>
      <c r="G23" t="s">
        <v>25</v>
      </c>
      <c r="H23" s="1">
        <v>44327</v>
      </c>
      <c r="I23" t="s">
        <v>45</v>
      </c>
      <c r="J23" t="s">
        <v>108</v>
      </c>
      <c r="K23" t="s">
        <v>109</v>
      </c>
      <c r="L23">
        <v>71</v>
      </c>
      <c r="M23" t="s">
        <v>21</v>
      </c>
    </row>
    <row r="24" spans="1:13" x14ac:dyDescent="0.25">
      <c r="A24" t="s">
        <v>110</v>
      </c>
      <c r="B24" t="s">
        <v>50</v>
      </c>
      <c r="C24" t="s">
        <v>38</v>
      </c>
      <c r="D24" t="s">
        <v>33</v>
      </c>
      <c r="E24" s="1">
        <v>34387</v>
      </c>
      <c r="F24">
        <v>6141951830</v>
      </c>
      <c r="G24" t="s">
        <v>17</v>
      </c>
      <c r="H24" s="1">
        <v>44557</v>
      </c>
      <c r="I24" t="s">
        <v>18</v>
      </c>
      <c r="J24" t="s">
        <v>111</v>
      </c>
      <c r="K24" t="s">
        <v>112</v>
      </c>
      <c r="L24">
        <v>32</v>
      </c>
      <c r="M24" t="s">
        <v>69</v>
      </c>
    </row>
    <row r="25" spans="1:13" x14ac:dyDescent="0.25">
      <c r="A25" t="s">
        <v>113</v>
      </c>
      <c r="B25" t="s">
        <v>82</v>
      </c>
      <c r="C25" t="s">
        <v>107</v>
      </c>
      <c r="D25" t="s">
        <v>16</v>
      </c>
      <c r="E25" s="1">
        <v>33546</v>
      </c>
      <c r="F25">
        <v>7196777444</v>
      </c>
      <c r="G25" t="s">
        <v>25</v>
      </c>
      <c r="H25" s="1">
        <v>44441</v>
      </c>
      <c r="I25" t="s">
        <v>18</v>
      </c>
      <c r="J25" t="s">
        <v>114</v>
      </c>
      <c r="K25" t="s">
        <v>115</v>
      </c>
      <c r="L25">
        <v>34</v>
      </c>
      <c r="M25" t="s">
        <v>69</v>
      </c>
    </row>
    <row r="26" spans="1:13" x14ac:dyDescent="0.25">
      <c r="A26" t="s">
        <v>116</v>
      </c>
      <c r="B26" t="s">
        <v>117</v>
      </c>
      <c r="C26" t="s">
        <v>44</v>
      </c>
      <c r="D26" t="s">
        <v>33</v>
      </c>
      <c r="E26" s="1">
        <v>24333</v>
      </c>
      <c r="F26">
        <v>7482069727</v>
      </c>
      <c r="G26" t="s">
        <v>39</v>
      </c>
      <c r="H26" s="1">
        <v>44448</v>
      </c>
      <c r="I26" t="s">
        <v>40</v>
      </c>
      <c r="J26" t="s">
        <v>118</v>
      </c>
      <c r="K26" t="s">
        <v>119</v>
      </c>
      <c r="L26">
        <v>59</v>
      </c>
      <c r="M26" t="s">
        <v>48</v>
      </c>
    </row>
    <row r="27" spans="1:13" x14ac:dyDescent="0.25">
      <c r="A27" t="s">
        <v>120</v>
      </c>
      <c r="B27" t="s">
        <v>106</v>
      </c>
      <c r="C27" t="s">
        <v>66</v>
      </c>
      <c r="D27" t="s">
        <v>33</v>
      </c>
      <c r="E27" s="1">
        <v>37953</v>
      </c>
      <c r="F27">
        <v>9900972256</v>
      </c>
      <c r="G27" t="s">
        <v>39</v>
      </c>
      <c r="H27" s="1">
        <v>44329</v>
      </c>
      <c r="I27" t="s">
        <v>45</v>
      </c>
      <c r="J27" t="s">
        <v>121</v>
      </c>
      <c r="K27" t="s">
        <v>122</v>
      </c>
      <c r="L27">
        <v>22</v>
      </c>
      <c r="M27" t="s">
        <v>69</v>
      </c>
    </row>
    <row r="28" spans="1:13" x14ac:dyDescent="0.25">
      <c r="A28" t="s">
        <v>123</v>
      </c>
      <c r="B28" t="s">
        <v>50</v>
      </c>
      <c r="C28" t="s">
        <v>99</v>
      </c>
      <c r="D28" t="s">
        <v>16</v>
      </c>
      <c r="E28" s="1">
        <v>35975</v>
      </c>
      <c r="F28">
        <v>8724518272</v>
      </c>
      <c r="G28" t="s">
        <v>25</v>
      </c>
      <c r="H28" s="1">
        <v>44423</v>
      </c>
      <c r="I28" t="s">
        <v>40</v>
      </c>
      <c r="J28" t="s">
        <v>124</v>
      </c>
      <c r="K28" t="s">
        <v>125</v>
      </c>
      <c r="L28">
        <v>27</v>
      </c>
      <c r="M28" t="s">
        <v>69</v>
      </c>
    </row>
    <row r="29" spans="1:13" x14ac:dyDescent="0.25">
      <c r="A29" t="s">
        <v>126</v>
      </c>
      <c r="B29" t="s">
        <v>54</v>
      </c>
      <c r="C29" t="s">
        <v>99</v>
      </c>
      <c r="D29" t="s">
        <v>33</v>
      </c>
      <c r="E29" s="1">
        <v>34072</v>
      </c>
      <c r="F29">
        <v>7028910482</v>
      </c>
      <c r="G29" t="s">
        <v>25</v>
      </c>
      <c r="H29" s="1">
        <v>45066</v>
      </c>
      <c r="I29" t="s">
        <v>45</v>
      </c>
      <c r="J29" t="s">
        <v>127</v>
      </c>
      <c r="K29" t="s">
        <v>128</v>
      </c>
      <c r="L29">
        <v>33</v>
      </c>
      <c r="M29" t="s">
        <v>69</v>
      </c>
    </row>
    <row r="30" spans="1:13" x14ac:dyDescent="0.25">
      <c r="A30" t="s">
        <v>129</v>
      </c>
      <c r="B30" t="s">
        <v>14</v>
      </c>
      <c r="C30" t="s">
        <v>24</v>
      </c>
      <c r="D30" t="s">
        <v>33</v>
      </c>
      <c r="E30" s="1">
        <v>38487</v>
      </c>
      <c r="F30">
        <v>8923607677</v>
      </c>
      <c r="G30" t="s">
        <v>17</v>
      </c>
      <c r="H30" s="1">
        <v>45035</v>
      </c>
      <c r="I30" t="s">
        <v>40</v>
      </c>
      <c r="J30" t="s">
        <v>130</v>
      </c>
      <c r="K30" t="s">
        <v>131</v>
      </c>
      <c r="L30">
        <v>21</v>
      </c>
      <c r="M30" t="s">
        <v>69</v>
      </c>
    </row>
    <row r="31" spans="1:13" x14ac:dyDescent="0.25">
      <c r="A31" t="s">
        <v>132</v>
      </c>
      <c r="B31" t="s">
        <v>23</v>
      </c>
      <c r="C31" t="s">
        <v>99</v>
      </c>
      <c r="D31" t="s">
        <v>33</v>
      </c>
      <c r="E31" s="1">
        <v>23734</v>
      </c>
      <c r="F31">
        <v>6622318721</v>
      </c>
      <c r="G31" t="s">
        <v>59</v>
      </c>
      <c r="H31" s="1">
        <v>44415</v>
      </c>
      <c r="I31" t="s">
        <v>26</v>
      </c>
      <c r="J31" t="s">
        <v>133</v>
      </c>
      <c r="K31" t="s">
        <v>134</v>
      </c>
      <c r="L31">
        <v>61</v>
      </c>
      <c r="M31" t="s">
        <v>48</v>
      </c>
    </row>
    <row r="32" spans="1:13" x14ac:dyDescent="0.25">
      <c r="A32" t="s">
        <v>135</v>
      </c>
      <c r="B32" t="s">
        <v>117</v>
      </c>
      <c r="C32" t="s">
        <v>95</v>
      </c>
      <c r="D32" t="s">
        <v>33</v>
      </c>
      <c r="E32" s="1">
        <v>31791</v>
      </c>
      <c r="F32">
        <v>8280346676</v>
      </c>
      <c r="G32" t="s">
        <v>25</v>
      </c>
      <c r="H32" s="1">
        <v>44740</v>
      </c>
      <c r="I32" t="s">
        <v>18</v>
      </c>
      <c r="J32" t="s">
        <v>136</v>
      </c>
      <c r="K32" t="s">
        <v>137</v>
      </c>
      <c r="L32">
        <v>39</v>
      </c>
      <c r="M32" t="s">
        <v>29</v>
      </c>
    </row>
    <row r="33" spans="1:13" x14ac:dyDescent="0.25">
      <c r="A33" t="s">
        <v>138</v>
      </c>
      <c r="B33" t="s">
        <v>54</v>
      </c>
      <c r="C33" t="s">
        <v>99</v>
      </c>
      <c r="D33" t="s">
        <v>33</v>
      </c>
      <c r="E33" s="1">
        <v>29594</v>
      </c>
      <c r="F33">
        <v>8102183595</v>
      </c>
      <c r="G33" t="s">
        <v>39</v>
      </c>
      <c r="H33" s="1">
        <v>44471</v>
      </c>
      <c r="I33" t="s">
        <v>45</v>
      </c>
      <c r="J33" t="s">
        <v>139</v>
      </c>
      <c r="K33" t="s">
        <v>128</v>
      </c>
      <c r="L33">
        <v>45</v>
      </c>
      <c r="M33" t="s">
        <v>29</v>
      </c>
    </row>
    <row r="34" spans="1:13" x14ac:dyDescent="0.25">
      <c r="A34" t="s">
        <v>140</v>
      </c>
      <c r="B34" t="s">
        <v>37</v>
      </c>
      <c r="C34" t="s">
        <v>44</v>
      </c>
      <c r="D34" t="s">
        <v>16</v>
      </c>
      <c r="E34" s="1">
        <v>25605</v>
      </c>
      <c r="F34">
        <v>7923214041</v>
      </c>
      <c r="G34" t="s">
        <v>17</v>
      </c>
      <c r="H34" s="1">
        <v>45175</v>
      </c>
      <c r="I34" t="s">
        <v>45</v>
      </c>
      <c r="J34" t="s">
        <v>141</v>
      </c>
      <c r="K34" t="s">
        <v>104</v>
      </c>
      <c r="L34">
        <v>56</v>
      </c>
      <c r="M34" t="s">
        <v>48</v>
      </c>
    </row>
    <row r="35" spans="1:13" x14ac:dyDescent="0.25">
      <c r="A35" t="s">
        <v>142</v>
      </c>
      <c r="B35" t="s">
        <v>54</v>
      </c>
      <c r="C35" t="s">
        <v>24</v>
      </c>
      <c r="D35" t="s">
        <v>16</v>
      </c>
      <c r="E35" s="1">
        <v>18289</v>
      </c>
      <c r="F35">
        <v>8374657733</v>
      </c>
      <c r="G35" t="s">
        <v>25</v>
      </c>
      <c r="H35" s="1">
        <v>45095</v>
      </c>
      <c r="I35" t="s">
        <v>18</v>
      </c>
      <c r="J35" t="s">
        <v>143</v>
      </c>
      <c r="K35" t="s">
        <v>144</v>
      </c>
      <c r="L35">
        <v>76</v>
      </c>
      <c r="M35" t="s">
        <v>21</v>
      </c>
    </row>
    <row r="36" spans="1:13" x14ac:dyDescent="0.25">
      <c r="A36" t="s">
        <v>145</v>
      </c>
      <c r="B36" t="s">
        <v>14</v>
      </c>
      <c r="C36" t="s">
        <v>44</v>
      </c>
      <c r="D36" t="s">
        <v>16</v>
      </c>
      <c r="E36" s="1">
        <v>34072</v>
      </c>
      <c r="F36">
        <v>7039619487</v>
      </c>
      <c r="G36" t="s">
        <v>39</v>
      </c>
      <c r="H36" s="1">
        <v>45116</v>
      </c>
      <c r="I36" t="s">
        <v>45</v>
      </c>
      <c r="J36" t="s">
        <v>146</v>
      </c>
      <c r="K36" t="s">
        <v>47</v>
      </c>
      <c r="L36">
        <v>33</v>
      </c>
      <c r="M36" t="s">
        <v>69</v>
      </c>
    </row>
    <row r="37" spans="1:13" x14ac:dyDescent="0.25">
      <c r="A37" t="s">
        <v>147</v>
      </c>
      <c r="B37" t="s">
        <v>37</v>
      </c>
      <c r="C37" t="s">
        <v>44</v>
      </c>
      <c r="D37" t="s">
        <v>33</v>
      </c>
      <c r="E37" s="1">
        <v>35790</v>
      </c>
      <c r="F37">
        <v>8545613046</v>
      </c>
      <c r="G37" t="s">
        <v>39</v>
      </c>
      <c r="H37" s="1">
        <v>44838</v>
      </c>
      <c r="I37" t="s">
        <v>45</v>
      </c>
      <c r="J37" t="s">
        <v>148</v>
      </c>
      <c r="K37" t="s">
        <v>104</v>
      </c>
      <c r="L37">
        <v>28</v>
      </c>
      <c r="M37" t="s">
        <v>69</v>
      </c>
    </row>
    <row r="38" spans="1:13" x14ac:dyDescent="0.25">
      <c r="A38" t="s">
        <v>149</v>
      </c>
      <c r="B38" t="s">
        <v>117</v>
      </c>
      <c r="C38" t="s">
        <v>15</v>
      </c>
      <c r="D38" t="s">
        <v>33</v>
      </c>
      <c r="E38" s="1">
        <v>36196</v>
      </c>
      <c r="F38">
        <v>8886800195</v>
      </c>
      <c r="G38" t="s">
        <v>59</v>
      </c>
      <c r="H38" s="1">
        <v>44469</v>
      </c>
      <c r="I38" t="s">
        <v>40</v>
      </c>
      <c r="J38" t="s">
        <v>150</v>
      </c>
      <c r="K38" t="s">
        <v>151</v>
      </c>
      <c r="L38">
        <v>27</v>
      </c>
      <c r="M38" t="s">
        <v>69</v>
      </c>
    </row>
    <row r="39" spans="1:13" x14ac:dyDescent="0.25">
      <c r="A39" t="s">
        <v>152</v>
      </c>
      <c r="B39" t="s">
        <v>14</v>
      </c>
      <c r="C39" t="s">
        <v>24</v>
      </c>
      <c r="D39" t="s">
        <v>33</v>
      </c>
      <c r="E39" s="1">
        <v>33414</v>
      </c>
      <c r="F39">
        <v>6347262390</v>
      </c>
      <c r="G39" t="s">
        <v>17</v>
      </c>
      <c r="H39" s="1">
        <v>44305</v>
      </c>
      <c r="I39" t="s">
        <v>45</v>
      </c>
      <c r="J39" t="s">
        <v>153</v>
      </c>
      <c r="K39" t="s">
        <v>131</v>
      </c>
      <c r="L39">
        <v>34</v>
      </c>
      <c r="M39" t="s">
        <v>69</v>
      </c>
    </row>
    <row r="40" spans="1:13" x14ac:dyDescent="0.25">
      <c r="A40" t="s">
        <v>154</v>
      </c>
      <c r="B40" t="s">
        <v>88</v>
      </c>
      <c r="C40" t="s">
        <v>44</v>
      </c>
      <c r="D40" t="s">
        <v>16</v>
      </c>
      <c r="E40" s="1">
        <v>18609</v>
      </c>
      <c r="F40">
        <v>9271131338</v>
      </c>
      <c r="G40" t="s">
        <v>17</v>
      </c>
      <c r="H40" s="1">
        <v>44264</v>
      </c>
      <c r="I40" t="s">
        <v>26</v>
      </c>
      <c r="J40" t="s">
        <v>155</v>
      </c>
      <c r="K40" t="s">
        <v>156</v>
      </c>
      <c r="L40">
        <v>75</v>
      </c>
      <c r="M40" t="s">
        <v>21</v>
      </c>
    </row>
    <row r="41" spans="1:13" x14ac:dyDescent="0.25">
      <c r="A41" t="s">
        <v>157</v>
      </c>
      <c r="B41" t="s">
        <v>23</v>
      </c>
      <c r="C41" t="s">
        <v>15</v>
      </c>
      <c r="D41" t="s">
        <v>33</v>
      </c>
      <c r="E41" s="1">
        <v>26449</v>
      </c>
      <c r="F41">
        <v>7587653815</v>
      </c>
      <c r="G41" t="s">
        <v>59</v>
      </c>
      <c r="H41" s="1">
        <v>44485</v>
      </c>
      <c r="I41" t="s">
        <v>26</v>
      </c>
      <c r="J41" t="s">
        <v>158</v>
      </c>
      <c r="K41" t="s">
        <v>159</v>
      </c>
      <c r="L41">
        <v>53</v>
      </c>
      <c r="M41" t="s">
        <v>48</v>
      </c>
    </row>
    <row r="42" spans="1:13" x14ac:dyDescent="0.25">
      <c r="A42" t="s">
        <v>160</v>
      </c>
      <c r="B42" t="s">
        <v>117</v>
      </c>
      <c r="C42" t="s">
        <v>15</v>
      </c>
      <c r="D42" t="s">
        <v>33</v>
      </c>
      <c r="E42" s="1">
        <v>18798</v>
      </c>
      <c r="F42">
        <v>7020645498</v>
      </c>
      <c r="G42" t="s">
        <v>59</v>
      </c>
      <c r="H42" s="1">
        <v>44758</v>
      </c>
      <c r="I42" t="s">
        <v>18</v>
      </c>
      <c r="J42" t="s">
        <v>161</v>
      </c>
      <c r="K42" t="s">
        <v>151</v>
      </c>
      <c r="L42">
        <v>74</v>
      </c>
      <c r="M42" t="s">
        <v>21</v>
      </c>
    </row>
    <row r="43" spans="1:13" x14ac:dyDescent="0.25">
      <c r="A43" t="s">
        <v>162</v>
      </c>
      <c r="B43" t="s">
        <v>88</v>
      </c>
      <c r="C43" t="s">
        <v>24</v>
      </c>
      <c r="D43" t="s">
        <v>16</v>
      </c>
      <c r="E43" s="1">
        <v>19958</v>
      </c>
      <c r="F43">
        <v>7040069008</v>
      </c>
      <c r="G43" t="s">
        <v>17</v>
      </c>
      <c r="H43" s="1">
        <v>44635</v>
      </c>
      <c r="I43" t="s">
        <v>45</v>
      </c>
      <c r="J43" t="s">
        <v>163</v>
      </c>
      <c r="K43" t="s">
        <v>164</v>
      </c>
      <c r="L43">
        <v>71</v>
      </c>
      <c r="M43" t="s">
        <v>21</v>
      </c>
    </row>
    <row r="44" spans="1:13" x14ac:dyDescent="0.25">
      <c r="A44" t="s">
        <v>165</v>
      </c>
      <c r="B44" t="s">
        <v>50</v>
      </c>
      <c r="C44" t="s">
        <v>107</v>
      </c>
      <c r="D44" t="s">
        <v>33</v>
      </c>
      <c r="E44" s="1">
        <v>29305</v>
      </c>
      <c r="F44">
        <v>9127665406</v>
      </c>
      <c r="G44" t="s">
        <v>17</v>
      </c>
      <c r="H44" s="1">
        <v>44760</v>
      </c>
      <c r="I44" t="s">
        <v>18</v>
      </c>
      <c r="J44" t="s">
        <v>166</v>
      </c>
      <c r="K44" t="s">
        <v>167</v>
      </c>
      <c r="L44">
        <v>46</v>
      </c>
      <c r="M44" t="s">
        <v>29</v>
      </c>
    </row>
    <row r="45" spans="1:13" x14ac:dyDescent="0.25">
      <c r="A45" t="s">
        <v>168</v>
      </c>
      <c r="B45" t="s">
        <v>117</v>
      </c>
      <c r="C45" t="s">
        <v>66</v>
      </c>
      <c r="D45" t="s">
        <v>16</v>
      </c>
      <c r="E45" s="1">
        <v>27830</v>
      </c>
      <c r="F45">
        <v>9449458981</v>
      </c>
      <c r="G45" t="s">
        <v>25</v>
      </c>
      <c r="H45" s="1">
        <v>44952</v>
      </c>
      <c r="I45" t="s">
        <v>26</v>
      </c>
      <c r="J45" t="s">
        <v>169</v>
      </c>
      <c r="K45" t="s">
        <v>170</v>
      </c>
      <c r="L45">
        <v>50</v>
      </c>
      <c r="M45" t="s">
        <v>29</v>
      </c>
    </row>
    <row r="46" spans="1:13" x14ac:dyDescent="0.25">
      <c r="A46" t="s">
        <v>171</v>
      </c>
      <c r="B46" t="s">
        <v>50</v>
      </c>
      <c r="C46" t="s">
        <v>95</v>
      </c>
      <c r="D46" t="s">
        <v>16</v>
      </c>
      <c r="E46" s="1">
        <v>24222</v>
      </c>
      <c r="F46">
        <v>7579616535</v>
      </c>
      <c r="G46" t="s">
        <v>25</v>
      </c>
      <c r="H46" s="1">
        <v>44219</v>
      </c>
      <c r="I46" t="s">
        <v>45</v>
      </c>
      <c r="J46" t="s">
        <v>172</v>
      </c>
      <c r="K46" t="s">
        <v>173</v>
      </c>
      <c r="L46">
        <v>60</v>
      </c>
      <c r="M46" t="s">
        <v>48</v>
      </c>
    </row>
    <row r="47" spans="1:13" x14ac:dyDescent="0.25">
      <c r="A47" t="s">
        <v>174</v>
      </c>
      <c r="B47" t="s">
        <v>37</v>
      </c>
      <c r="C47" t="s">
        <v>66</v>
      </c>
      <c r="D47" t="s">
        <v>16</v>
      </c>
      <c r="E47" s="1">
        <v>31656</v>
      </c>
      <c r="F47">
        <v>8019925828</v>
      </c>
      <c r="G47" t="s">
        <v>59</v>
      </c>
      <c r="H47" s="1">
        <v>44408</v>
      </c>
      <c r="I47" t="s">
        <v>45</v>
      </c>
      <c r="J47" t="s">
        <v>175</v>
      </c>
      <c r="K47" t="s">
        <v>68</v>
      </c>
      <c r="L47">
        <v>39</v>
      </c>
      <c r="M47" t="s">
        <v>29</v>
      </c>
    </row>
    <row r="48" spans="1:13" x14ac:dyDescent="0.25">
      <c r="A48" t="s">
        <v>176</v>
      </c>
      <c r="B48" t="s">
        <v>88</v>
      </c>
      <c r="C48" t="s">
        <v>99</v>
      </c>
      <c r="D48" t="s">
        <v>33</v>
      </c>
      <c r="E48" s="1">
        <v>35046</v>
      </c>
      <c r="F48">
        <v>8715732851</v>
      </c>
      <c r="G48" t="s">
        <v>25</v>
      </c>
      <c r="H48" s="1">
        <v>44701</v>
      </c>
      <c r="I48" t="s">
        <v>18</v>
      </c>
      <c r="J48" t="s">
        <v>177</v>
      </c>
      <c r="K48" t="s">
        <v>101</v>
      </c>
      <c r="L48">
        <v>30</v>
      </c>
      <c r="M48" t="s">
        <v>69</v>
      </c>
    </row>
    <row r="49" spans="1:13" x14ac:dyDescent="0.25">
      <c r="A49" t="s">
        <v>178</v>
      </c>
      <c r="B49" t="s">
        <v>23</v>
      </c>
      <c r="C49" t="s">
        <v>95</v>
      </c>
      <c r="D49" t="s">
        <v>33</v>
      </c>
      <c r="E49" s="1">
        <v>30399</v>
      </c>
      <c r="F49">
        <v>8720989381</v>
      </c>
      <c r="G49" t="s">
        <v>39</v>
      </c>
      <c r="H49" s="1">
        <v>45096</v>
      </c>
      <c r="I49" t="s">
        <v>26</v>
      </c>
      <c r="J49" t="s">
        <v>179</v>
      </c>
      <c r="K49" t="s">
        <v>180</v>
      </c>
      <c r="L49">
        <v>43</v>
      </c>
      <c r="M49" t="s">
        <v>29</v>
      </c>
    </row>
    <row r="50" spans="1:13" x14ac:dyDescent="0.25">
      <c r="A50" t="s">
        <v>181</v>
      </c>
      <c r="B50" t="s">
        <v>14</v>
      </c>
      <c r="C50" t="s">
        <v>99</v>
      </c>
      <c r="D50" t="s">
        <v>33</v>
      </c>
      <c r="E50" s="1">
        <v>26629</v>
      </c>
      <c r="F50">
        <v>7712937941</v>
      </c>
      <c r="G50" t="s">
        <v>25</v>
      </c>
      <c r="H50" s="1">
        <v>45091</v>
      </c>
      <c r="I50" t="s">
        <v>45</v>
      </c>
      <c r="J50" t="s">
        <v>182</v>
      </c>
      <c r="K50" t="s">
        <v>183</v>
      </c>
      <c r="L50">
        <v>53</v>
      </c>
      <c r="M50" t="s">
        <v>48</v>
      </c>
    </row>
    <row r="51" spans="1:13" x14ac:dyDescent="0.25">
      <c r="A51" t="s">
        <v>184</v>
      </c>
      <c r="B51" t="s">
        <v>31</v>
      </c>
      <c r="C51" t="s">
        <v>44</v>
      </c>
      <c r="D51" t="s">
        <v>33</v>
      </c>
      <c r="E51" s="1">
        <v>34330</v>
      </c>
      <c r="F51">
        <v>8301134730</v>
      </c>
      <c r="G51" t="s">
        <v>25</v>
      </c>
      <c r="H51" s="1">
        <v>45044</v>
      </c>
      <c r="I51" t="s">
        <v>18</v>
      </c>
      <c r="J51" t="s">
        <v>185</v>
      </c>
      <c r="K51" t="s">
        <v>93</v>
      </c>
      <c r="L51">
        <v>32</v>
      </c>
      <c r="M51" t="s">
        <v>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749F4-C3B4-474A-9292-911AAAA95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Raw_Billings</vt:lpstr>
      <vt:lpstr>KPI_Calculations</vt:lpstr>
      <vt:lpstr>doctor_performance</vt:lpstr>
      <vt:lpstr>monthly_revenue</vt:lpstr>
      <vt:lpstr>Pivot_Tables</vt:lpstr>
      <vt:lpstr>Dashboard</vt:lpstr>
      <vt:lpstr>Raw_Treatments</vt:lpstr>
      <vt:lpstr>Raw_Appointments</vt:lpstr>
      <vt:lpstr>Raw_Doctors</vt:lpstr>
      <vt:lpstr>Raw_Patients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Mayiie Kamara</dc:creator>
  <cp:lastModifiedBy>Regina Mayiie Kamara</cp:lastModifiedBy>
  <dcterms:created xsi:type="dcterms:W3CDTF">2026-05-29T20:36:42Z</dcterms:created>
  <dcterms:modified xsi:type="dcterms:W3CDTF">2026-06-07T04:17:18Z</dcterms:modified>
</cp:coreProperties>
</file>